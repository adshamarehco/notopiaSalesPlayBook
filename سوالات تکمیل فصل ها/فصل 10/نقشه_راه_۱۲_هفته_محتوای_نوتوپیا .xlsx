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ehdi\Downloads\"/>
    </mc:Choice>
  </mc:AlternateContent>
  <xr:revisionPtr revIDLastSave="0" documentId="13_ncr:1_{E28E92CA-CD93-4667-B656-3CF2C178E089}" xr6:coauthVersionLast="47" xr6:coauthVersionMax="47" xr10:uidLastSave="{00000000-0000-0000-0000-000000000000}"/>
  <bookViews>
    <workbookView xWindow="-120" yWindow="-120" windowWidth="29040" windowHeight="15720" xr2:uid="{00000000-000D-0000-FFFF-FFFF00000000}"/>
  </bookViews>
  <sheets>
    <sheet name="گزارش تجمیعی" sheetId="1" r:id="rId1"/>
    <sheet name="راهنمای استفاده" sheetId="2" r:id="rId2"/>
    <sheet name="هفته 1" sheetId="3" r:id="rId3"/>
    <sheet name="هفته 2" sheetId="4" r:id="rId4"/>
    <sheet name="هفته 3" sheetId="5" r:id="rId5"/>
    <sheet name="هفته 4" sheetId="6" r:id="rId6"/>
    <sheet name="هفته 5" sheetId="7" r:id="rId7"/>
    <sheet name="هفته 6" sheetId="8" r:id="rId8"/>
    <sheet name="هفته 7" sheetId="9" r:id="rId9"/>
    <sheet name="هفته 8" sheetId="10" r:id="rId10"/>
    <sheet name="هفته 9" sheetId="11" r:id="rId11"/>
    <sheet name="هفته 10" sheetId="12" r:id="rId12"/>
    <sheet name="هفته 11" sheetId="13" r:id="rId13"/>
    <sheet name="هفته 12"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1" i="14" l="1"/>
  <c r="F21" i="14"/>
  <c r="E21" i="14"/>
  <c r="C21" i="14"/>
  <c r="B21" i="14"/>
  <c r="D21" i="14" s="1"/>
  <c r="D20" i="14"/>
  <c r="D19" i="14"/>
  <c r="D18" i="14"/>
  <c r="D17" i="14"/>
  <c r="D16" i="14"/>
  <c r="D15" i="14"/>
  <c r="G21" i="13"/>
  <c r="F21" i="13"/>
  <c r="E21" i="13"/>
  <c r="C21" i="13"/>
  <c r="B21" i="13"/>
  <c r="D21" i="13" s="1"/>
  <c r="D20" i="13"/>
  <c r="D19" i="13"/>
  <c r="D18" i="13"/>
  <c r="D17" i="13"/>
  <c r="D16" i="13"/>
  <c r="D15" i="13"/>
  <c r="G21" i="12"/>
  <c r="F21" i="12"/>
  <c r="E21" i="12"/>
  <c r="D21" i="12"/>
  <c r="C21" i="12"/>
  <c r="B21" i="12"/>
  <c r="D20" i="12"/>
  <c r="D19" i="12"/>
  <c r="D18" i="12"/>
  <c r="D17" i="12"/>
  <c r="D16" i="12"/>
  <c r="D15" i="12"/>
  <c r="G21" i="11"/>
  <c r="F21" i="11"/>
  <c r="E21" i="11"/>
  <c r="C21" i="11"/>
  <c r="B21" i="11"/>
  <c r="D21" i="11" s="1"/>
  <c r="D20" i="11"/>
  <c r="D19" i="11"/>
  <c r="D18" i="11"/>
  <c r="D17" i="11"/>
  <c r="D16" i="11"/>
  <c r="D15" i="11"/>
  <c r="G21" i="10"/>
  <c r="F21" i="10"/>
  <c r="E21" i="10"/>
  <c r="D21" i="10"/>
  <c r="C21" i="10"/>
  <c r="B21" i="10"/>
  <c r="D20" i="10"/>
  <c r="D19" i="10"/>
  <c r="D18" i="10"/>
  <c r="D17" i="10"/>
  <c r="D16" i="10"/>
  <c r="D15" i="10"/>
  <c r="G21" i="9"/>
  <c r="F21" i="9"/>
  <c r="E21" i="9"/>
  <c r="C21" i="9"/>
  <c r="B21" i="9"/>
  <c r="D21" i="9" s="1"/>
  <c r="D20" i="9"/>
  <c r="D19" i="9"/>
  <c r="D18" i="9"/>
  <c r="D17" i="9"/>
  <c r="D16" i="9"/>
  <c r="D15" i="9"/>
  <c r="G21" i="8"/>
  <c r="F21" i="8"/>
  <c r="E21" i="8"/>
  <c r="D21" i="8"/>
  <c r="C21" i="8"/>
  <c r="B21" i="8"/>
  <c r="D20" i="8"/>
  <c r="D19" i="8"/>
  <c r="D18" i="8"/>
  <c r="D17" i="8"/>
  <c r="D16" i="8"/>
  <c r="D15" i="8"/>
  <c r="G21" i="7"/>
  <c r="F21" i="7"/>
  <c r="E21" i="7"/>
  <c r="C21" i="7"/>
  <c r="B21" i="7"/>
  <c r="D21" i="7" s="1"/>
  <c r="D20" i="7"/>
  <c r="D19" i="7"/>
  <c r="D18" i="7"/>
  <c r="D17" i="7"/>
  <c r="D16" i="7"/>
  <c r="D15" i="7"/>
  <c r="G21" i="6"/>
  <c r="F21" i="6"/>
  <c r="E21" i="6"/>
  <c r="D21" i="6"/>
  <c r="C21" i="6"/>
  <c r="B21" i="6"/>
  <c r="D20" i="6"/>
  <c r="D19" i="6"/>
  <c r="D18" i="6"/>
  <c r="D17" i="6"/>
  <c r="D16" i="6"/>
  <c r="D15" i="6"/>
  <c r="G21" i="5"/>
  <c r="F21" i="5"/>
  <c r="E21" i="5"/>
  <c r="C21" i="5"/>
  <c r="B21" i="5"/>
  <c r="D21" i="5" s="1"/>
  <c r="D20" i="5"/>
  <c r="D19" i="5"/>
  <c r="D18" i="5"/>
  <c r="D17" i="5"/>
  <c r="D16" i="5"/>
  <c r="D15" i="5"/>
  <c r="G21" i="4"/>
  <c r="F21" i="4"/>
  <c r="E21" i="4"/>
  <c r="D21" i="4"/>
  <c r="C21" i="4"/>
  <c r="B21" i="4"/>
  <c r="D20" i="4"/>
  <c r="D19" i="4"/>
  <c r="D18" i="4"/>
  <c r="D17" i="4"/>
  <c r="D16" i="4"/>
  <c r="D15" i="4"/>
  <c r="G21" i="3"/>
  <c r="F21" i="3"/>
  <c r="H14" i="1" s="1"/>
  <c r="H26" i="1" s="1"/>
  <c r="C34" i="1" s="1"/>
  <c r="E21" i="3"/>
  <c r="G14" i="1" s="1"/>
  <c r="G26" i="1" s="1"/>
  <c r="C21" i="3"/>
  <c r="E14" i="1" s="1"/>
  <c r="E26" i="1" s="1"/>
  <c r="C32" i="1" s="1"/>
  <c r="B21" i="3"/>
  <c r="D14" i="1" s="1"/>
  <c r="D20" i="3"/>
  <c r="D19" i="3"/>
  <c r="D18" i="3"/>
  <c r="D17" i="3"/>
  <c r="D16" i="3"/>
  <c r="D15" i="3"/>
  <c r="I26" i="1"/>
  <c r="H25" i="1"/>
  <c r="G25" i="1"/>
  <c r="E25" i="1"/>
  <c r="D25" i="1"/>
  <c r="F25" i="1" s="1"/>
  <c r="C25" i="1"/>
  <c r="K25" i="1" s="1"/>
  <c r="H24" i="1"/>
  <c r="G24" i="1"/>
  <c r="E24" i="1"/>
  <c r="D24" i="1"/>
  <c r="F24" i="1" s="1"/>
  <c r="C24" i="1"/>
  <c r="K24" i="1" s="1"/>
  <c r="H23" i="1"/>
  <c r="G23" i="1"/>
  <c r="E23" i="1"/>
  <c r="D23" i="1"/>
  <c r="F23" i="1" s="1"/>
  <c r="C23" i="1"/>
  <c r="K23" i="1" s="1"/>
  <c r="H22" i="1"/>
  <c r="G22" i="1"/>
  <c r="E22" i="1"/>
  <c r="D22" i="1"/>
  <c r="F22" i="1" s="1"/>
  <c r="C22" i="1"/>
  <c r="K22" i="1" s="1"/>
  <c r="H21" i="1"/>
  <c r="G21" i="1"/>
  <c r="E21" i="1"/>
  <c r="D21" i="1"/>
  <c r="F21" i="1" s="1"/>
  <c r="C21" i="1"/>
  <c r="K21" i="1" s="1"/>
  <c r="H20" i="1"/>
  <c r="G20" i="1"/>
  <c r="E20" i="1"/>
  <c r="D20" i="1"/>
  <c r="F20" i="1" s="1"/>
  <c r="C20" i="1"/>
  <c r="K20" i="1" s="1"/>
  <c r="H19" i="1"/>
  <c r="G19" i="1"/>
  <c r="E19" i="1"/>
  <c r="D19" i="1"/>
  <c r="F19" i="1" s="1"/>
  <c r="C19" i="1"/>
  <c r="K19" i="1" s="1"/>
  <c r="H18" i="1"/>
  <c r="G18" i="1"/>
  <c r="E18" i="1"/>
  <c r="D18" i="1"/>
  <c r="F18" i="1" s="1"/>
  <c r="C18" i="1"/>
  <c r="K18" i="1" s="1"/>
  <c r="H17" i="1"/>
  <c r="G17" i="1"/>
  <c r="E17" i="1"/>
  <c r="D17" i="1"/>
  <c r="F17" i="1" s="1"/>
  <c r="C17" i="1"/>
  <c r="K17" i="1" s="1"/>
  <c r="H16" i="1"/>
  <c r="G16" i="1"/>
  <c r="E16" i="1"/>
  <c r="D16" i="1"/>
  <c r="F16" i="1" s="1"/>
  <c r="C16" i="1"/>
  <c r="K16" i="1" s="1"/>
  <c r="H15" i="1"/>
  <c r="G15" i="1"/>
  <c r="E15" i="1"/>
  <c r="D15" i="1"/>
  <c r="F15" i="1" s="1"/>
  <c r="C15" i="1"/>
  <c r="K15" i="1" s="1"/>
  <c r="C14" i="1"/>
  <c r="C30" i="1" s="1"/>
  <c r="F14" i="1" l="1"/>
  <c r="D21" i="3"/>
  <c r="J14" i="1"/>
  <c r="J15" i="1"/>
  <c r="J16" i="1"/>
  <c r="J17" i="1"/>
  <c r="J18" i="1"/>
  <c r="J19" i="1"/>
  <c r="J20" i="1"/>
  <c r="J21" i="1"/>
  <c r="J22" i="1"/>
  <c r="J23" i="1"/>
  <c r="J24" i="1"/>
  <c r="J25" i="1"/>
  <c r="K14" i="1"/>
  <c r="C26" i="1"/>
  <c r="D26" i="1"/>
  <c r="F26" i="1" l="1"/>
  <c r="C33" i="1" s="1"/>
  <c r="C31" i="1"/>
  <c r="C29" i="1"/>
  <c r="J26" i="1"/>
</calcChain>
</file>

<file path=xl/sharedStrings.xml><?xml version="1.0" encoding="utf-8"?>
<sst xmlns="http://schemas.openxmlformats.org/spreadsheetml/2006/main" count="677" uniqueCount="309">
  <si>
    <t>داشبورد تجمیعی ۱۲ هفته محتوا — نوتوپیا</t>
  </si>
  <si>
    <t>این داشبورد به‌صورت خودکار از شیت‌های هفته ۱ تا ۱۲ داده می‌خواند. فقط آمار هر هفته را در شیت مربوطه پر کنید.</t>
  </si>
  <si>
    <t>اهداف ۳ ماهه و وضعیت پیشرفت</t>
  </si>
  <si>
    <t>هدف</t>
  </si>
  <si>
    <t>شرح</t>
  </si>
  <si>
    <t>نوع</t>
  </si>
  <si>
    <t>وضعیت دستی</t>
  </si>
  <si>
    <t>یادداشت</t>
  </si>
  <si>
    <t>۱. وضوح محصول برای گروه B</t>
  </si>
  <si>
    <t>حداقل ۷۰٪ محتوا به سوالات کاربرد/تفاوت/نحوه کار جواب دهد</t>
  </si>
  <si>
    <t>هدف کیفی</t>
  </si>
  <si>
    <t>۲. دارایی پشتیبانی فروش</t>
  </si>
  <si>
    <t>۳ Case Study + ۴ پاسخ اعتراض + ۲ ویدئوی کوتاه</t>
  </si>
  <si>
    <t>هدف کمی</t>
  </si>
  <si>
    <t>۳. آماده‌سازی فصل هدیه</t>
  </si>
  <si>
    <t>از هفته ۸ به بعد ≥۵۰٪ محتوا حول هدیه سازمانی</t>
  </si>
  <si>
    <t>۴. نمایش مدل‌های فیزیکی</t>
  </si>
  <si>
    <t>نمایش منظم رنگ/جلد/مدل و شخصی‌سازی</t>
  </si>
  <si>
    <t>۵. نظم اجرا و ثبت آمار</t>
  </si>
  <si>
    <t>هر ۱۲ هفته آمار ثبت‌شده + وضعیت اجرا مشخص</t>
  </si>
  <si>
    <t>هدف فرآیندی</t>
  </si>
  <si>
    <t>وضعیت اجرای هفته‌ها (خوانده‌شده از شیت‌های هفتگی)</t>
  </si>
  <si>
    <t>هفته</t>
  </si>
  <si>
    <t>موضوع محوری</t>
  </si>
  <si>
    <t>وضعیت اجرا</t>
  </si>
  <si>
    <t>بازدید کل</t>
  </si>
  <si>
    <t>تعامل کل</t>
  </si>
  <si>
    <t>نرخ تعامل %</t>
  </si>
  <si>
    <t>کلیک کل</t>
  </si>
  <si>
    <t>پیام ورودی</t>
  </si>
  <si>
    <t>تعداد محتوا</t>
  </si>
  <si>
    <t>پیشرفت %</t>
  </si>
  <si>
    <t>وضعیت رنگی</t>
  </si>
  <si>
    <t>نوتوپیا به چه دردی می‌خورد؟</t>
  </si>
  <si>
    <t>چطور کار می‌کند؟ (نسخه ساده)</t>
  </si>
  <si>
    <t>تفاوت با دفتر و سررسید معمولی</t>
  </si>
  <si>
    <t>معرفی مدل‌های فیزیکی (بخش ۱)</t>
  </si>
  <si>
    <t>پاسخ به اعتراض رایج قیمت</t>
  </si>
  <si>
    <t>Case Study شماره ۱ (روایت داخلی)</t>
  </si>
  <si>
    <t>مدل‌های فیزیکی (بخش ۲) + شخصی‌سازی</t>
  </si>
  <si>
    <t>هدیه سازمانی چیست و چرا مهم است؟</t>
  </si>
  <si>
    <t>تجربه گیرنده هدیه</t>
  </si>
  <si>
    <t>Case Study ۲ + زمان‌بندی خرید</t>
  </si>
  <si>
    <t>پاسخ به اعتراض زمان تحویل و تیراژ</t>
  </si>
  <si>
    <t>جمع‌بندی + دعوت ملایم</t>
  </si>
  <si>
    <t>جمع / میانگین</t>
  </si>
  <si>
    <t>شاخص‌های کلیدی عملکرد (KPI)</t>
  </si>
  <si>
    <t>درصد پیشرفت کلی برنامه</t>
  </si>
  <si>
    <t>تعداد هفته‌های تکمیل‌شده</t>
  </si>
  <si>
    <t>مجموع بازدید ثبت‌شده</t>
  </si>
  <si>
    <t>مجموع تعامل ثبت‌شده</t>
  </si>
  <si>
    <t>میانگین نرخ تعامل</t>
  </si>
  <si>
    <t>مجموع پیام ورودی</t>
  </si>
  <si>
    <t>چک‌لیست دارایی‌های پشتیبانی فروش (دستی به‌روز کنید)</t>
  </si>
  <si>
    <t>دارایی</t>
  </si>
  <si>
    <t>وضعیت</t>
  </si>
  <si>
    <t>هفته مرتبط</t>
  </si>
  <si>
    <t>لینک / محل فایل</t>
  </si>
  <si>
    <t>Case Study شماره ۱</t>
  </si>
  <si>
    <t>هفته ۶</t>
  </si>
  <si>
    <t>Case Study شماره ۲</t>
  </si>
  <si>
    <t>هفته ۱۰</t>
  </si>
  <si>
    <t>Case Study شماره ۳</t>
  </si>
  <si>
    <t>—</t>
  </si>
  <si>
    <t>ویدئوی «چطور کار می‌کند»</t>
  </si>
  <si>
    <t>هفته ۲</t>
  </si>
  <si>
    <t>ویدئوی تجربه گیرنده / دوم</t>
  </si>
  <si>
    <t>هفته ۹</t>
  </si>
  <si>
    <t>پاسخ اعتراض قیمت</t>
  </si>
  <si>
    <t>هفته ۵</t>
  </si>
  <si>
    <t>پاسخ اعتراض زمان تحویل</t>
  </si>
  <si>
    <t>هفته ۱۱</t>
  </si>
  <si>
    <t>پاسخ اعتراض تیراژ</t>
  </si>
  <si>
    <t>پاسخ اعتراض چهارم (اختیاری)</t>
  </si>
  <si>
    <t>محتوای نمایش مدل‌های فیزیکی</t>
  </si>
  <si>
    <t>هفته ۴ و ۷</t>
  </si>
  <si>
    <t>راهنمای سریع داشبورد</t>
  </si>
  <si>
    <t>۱. در هر شیت هفته، بخش «ثبت نتایج و آمار» را بعد از انتشار پر کنید و وضعیت اجرا را از لیست کشویی انتخاب کنید.</t>
  </si>
  <si>
    <t>۲. این داشبورد به‌صورت خودکار وضعیت، بازدید، تعامل، کلیک و پیام را از شیت‌های هفته می‌خواند.</t>
  </si>
  <si>
    <t>۳. ستون «پیشرفت %» بر اساس وضعیت اجرا محاسبه می‌شود: انجام‌شده=۱۰۰٪ | ناقص=۵۰٪ | انجام‌نشده=۰٪</t>
  </si>
  <si>
    <t>۴. رنگ سبز = کامل | زرد = ناقص | قرمز = انجام‌نشده</t>
  </si>
  <si>
    <t>۵. اهداف کیفی و چک‌لیست دارایی‌ها را دستی به‌روز کنید.</t>
  </si>
  <si>
    <t>۶. همه شیت‌ها راست‌چین و با فونت Tahoma تنظیم شده‌اند.</t>
  </si>
  <si>
    <t>راهنمای استفاده از فایل نقشه راه ۱۲ هفته محتوا — نوتوپیا</t>
  </si>
  <si>
    <t>ساختار فایل:</t>
  </si>
  <si>
    <t>• شیت «گزارش تجمیعی»: داشبورد زنده که از شیت‌های هفتگی داده می‌خواند + اهداف + چک‌لیست دارایی‌ها</t>
  </si>
  <si>
    <t>• شیت‌های «هفته ۱» تا «هفته ۱۲»: جزئیات کامل کارها + محل ثبت آمار هر هفته</t>
  </si>
  <si>
    <t>• شیت «راهنمای استفاده»: همین توضیحات</t>
  </si>
  <si>
    <t>نحوه کار تیم:</t>
  </si>
  <si>
    <t>۱. در ابتدای هر هفته شیت مربوط به همان هفته را باز کنید.</t>
  </si>
  <si>
    <t>۲. هدف هفته را بخوانید.</t>
  </si>
  <si>
    <t>۳. کارهای شماره‌گذاری‌شده را دقیقاً طبق «قدم‌ها و جزئیات دقیق اجرا» انجام دهید.</t>
  </si>
  <si>
    <t>۴. از کپشن و متن پیشنهادی استفاده کنید (قابل ویرایش جزئی در حد لحن).</t>
  </si>
  <si>
    <t>۵. بعد از انتشار، بخش «ثبت نتایج و آمار» را پر کنید و وضعیت اجرا را از لیست کشویی انتخاب کنید.</t>
  </si>
  <si>
    <t>۶. داشبورد تجمیعی به‌صورت خودکار به‌روز می‌شود.</t>
  </si>
  <si>
    <t>نکات مهم:</t>
  </si>
  <si>
    <t>• تیم نباید موضوع یا ساختار اصلی کار را از خودش تغییر دهد مگر با تأیید مدیر.</t>
  </si>
  <si>
    <t>• نسخه مانا: خودکار پاک‌شونده یک قابلیت ارزشمند است (صفحات قابل استفاده مجدد)، نه نقطه ضعف.</t>
  </si>
  <si>
    <t>• Case Studyها روایت داخلی هستند و نیاز به نقل‌قول مستقیم مشتری ندارند.</t>
  </si>
  <si>
    <t>• قبل از محتوای مربوط به مدل‌های فیزیکی، با تیم تولید هماهنگ کنید.</t>
  </si>
  <si>
    <t>• پیامک و ایمیل فقط برای لیست گرم و فرصت‌های فعال استفاده شود.</t>
  </si>
  <si>
    <t>ثبت آمار:</t>
  </si>
  <si>
    <t>• بازدید / Reach: عدد رسمی پلتفرم</t>
  </si>
  <si>
    <t>• تعامل: مجموع لایک + کامنت + ذخیره (و در صورت وجود اشتراک)</t>
  </si>
  <si>
    <t>• نرخ تعامل به‌صورت خودکار محاسبه می‌شود</t>
  </si>
  <si>
    <t>• کلیک / لینک و پیام ورودی را در صورت وجود ثبت کنید</t>
  </si>
  <si>
    <t>• نکته کیفی: هر مشاهده مهم (مثلاً کامنت پرتکرار یا سوال جدید)</t>
  </si>
  <si>
    <t>هفته 1 — نوتوپیا به چه دردی می‌خورد؟</t>
  </si>
  <si>
    <t>هدف هفته: مخاطب گروه B بفهمد این محصول برای چه موقعیت‌هایی ساخته شده و چرا از سررسید معمولی بهتر است.</t>
  </si>
  <si>
    <t>شماره</t>
  </si>
  <si>
    <t>عنوان کار</t>
  </si>
  <si>
    <t>نوع محتوا</t>
  </si>
  <si>
    <t>کانال‌ها</t>
  </si>
  <si>
    <t>قدم‌ها و جزئیات دقیق اجرا</t>
  </si>
  <si>
    <t>کپشن / متن پیشنهادی</t>
  </si>
  <si>
    <t>خروجی مورد انتظار</t>
  </si>
  <si>
    <t>پست اصلی کاروسل: ۳ موقعیتی که سررسید معمولی کم می‌آورد</t>
  </si>
  <si>
    <t>پست کاروسل (۳ اسلاید)</t>
  </si>
  <si>
    <t>اینستاگرام + لینکدین + سایت</t>
  </si>
  <si>
    <t>اسلاید ۱: عنوان بزرگ «سررسید معمولی این ۳ جا کم می‌آورد»
زیرعنوان: هدیه به مشتری مهم | هدیه کارکنان | ثبت تصمیمات جلسات مدیریتی
اسلاید ۲: برای هر موقعیت یک جمله مشکل + یک جمله راه‌حل:
• هدیه مشتری مهم → مشکل: زود فراموش می‌شود. راه‌حل: با واقعیت افزوده برند شما زنده می‌ماند.
• هدیه کارکنان → مشکل: بعد چند ماه تبدیل به دفتر معمولی می‌شود. راه‌حل: نوشته‌ها اسکن و قابل جستجو می‌شوند.
• جلسات مدیریتی → مشکل: ایده‌ها گم می‌شوند. راه‌حل: با علامت‌زدن و اسکن، همه چیز منظم می‌ماند.
اسلاید ۳: تصویر محصول + جمله «نوتوپیا فقط یک سررسید نیست. هدیه‌ای است که کار می‌کند.»</t>
  </si>
  <si>
    <t>خیلی از سازمان‌ها هنوز برای هدیه سازمانی همان سررسید معمولی را می‌خرند.
اما سه جا این انتخاب ضعیف عمل می‌کند:
۱. وقتی می‌خواهید مشتری مهم‌تان شما را فراموش نکند
۲. وقتی می‌خواهید کارکنان واقعاً از هدیه استفاده کنند
۳. وقتی ایده‌ها و تصمیمات جلسات نباید گم شوند
نوتوپیا برای همین سه موقعیت ساخته شده.
در کامنت بنویسید کدام موقعیت برای سازمان شما مهم‌تر است.</t>
  </si>
  <si>
    <t>۱ پست کاروسل ۳ اسلایدی</t>
  </si>
  <si>
    <t>استوری سریالی ۴ فریمی</t>
  </si>
  <si>
    <t>استوری</t>
  </si>
  <si>
    <t>اینستاگرام + پیام‌رسان‌ها</t>
  </si>
  <si>
    <t>فریم ۱: «تا حالا هدیه‌ای دادید که بعد از دو ماه کسی سراغش را نگیرد؟»
فریم ۲: «سررسید معمولی معمولاً همین‌طور تمام می‌شود.»
فریم ۳: «نوتوپیا طوری طراحی شده که هم روی میز بماند و هم در گوشی قابل استفاده باشد.»
فریم ۴: «پست امروز را ببینید ← سه موقعیتی که این تفاوت مهم می‌شود»</t>
  </si>
  <si>
    <t>۱ سری استوری ۴ فریمی</t>
  </si>
  <si>
    <t>متن کوتاه برای پیامک/ایمیل لیست گرم</t>
  </si>
  <si>
    <t>پیامک / ایمیل</t>
  </si>
  <si>
    <t>پیامک + ایمیل</t>
  </si>
  <si>
    <t>متن حداکثر ۸۰ کلمه آماده ارسال. لینک پست اصلی را در انتها قرار دهید.</t>
  </si>
  <si>
    <t>سه موقعیتی که سررسید معمولی کم می‌آورد و نوتوپیا وارد می‌شود:
هدیه به مشتری مهم، هدیه کارکنان، و ثبت تصمیمات جلسات.
اگر برای سازمان‌تان یکی از این سه مورد مهم است، این پست را ببینید:
[لینک]</t>
  </si>
  <si>
    <t>۱ متن آماده ارسال</t>
  </si>
  <si>
    <t>نکات اجرایی هفته: تصاویر را می‌توان با هوش مصنوعی یا عکس موجود محصول ساخت. نیاز به فیلم‌برداری حرفه‌ای نیست.</t>
  </si>
  <si>
    <t>📊 ثبت نتایج و آمار این هفته (بعد از انتشار — حتماً پر شود)</t>
  </si>
  <si>
    <t>وضعیت اجرا:</t>
  </si>
  <si>
    <t>(انتخاب کنید: انجام‌شده / ناقص / انجام‌نشده)</t>
  </si>
  <si>
    <t>پلتفرم</t>
  </si>
  <si>
    <t>بازدید / Reach</t>
  </si>
  <si>
    <t>تعامل (لایک+کامنت+ذخیره)</t>
  </si>
  <si>
    <t>کلیک / لینک</t>
  </si>
  <si>
    <t>ذخیره / اشتراک</t>
  </si>
  <si>
    <t>نکته کیفی</t>
  </si>
  <si>
    <t>تاریخ ثبت</t>
  </si>
  <si>
    <t>اینستاگرام</t>
  </si>
  <si>
    <t>لینکدین</t>
  </si>
  <si>
    <t>سایت</t>
  </si>
  <si>
    <t>آپارات</t>
  </si>
  <si>
    <t>پیامک/ایمیل</t>
  </si>
  <si>
    <t>سایر</t>
  </si>
  <si>
    <t>جمع کل</t>
  </si>
  <si>
    <t>هفته 2 — چطور کار می‌کند؟ (نسخه ساده)</t>
  </si>
  <si>
    <t>هدف هفته: هر کسی که اولین بار می‌بیند، در کمتر از ۴۵ ثانیه بفهمد جریان کار نوتوپیا چیست.</t>
  </si>
  <si>
    <t>ویدئوی اصلی ۳۰–۴۵ ثانیه‌ای «از نوشتن تا دیجیتال»</t>
  </si>
  <si>
    <t>ریلز / ویدئو</t>
  </si>
  <si>
    <t>اینستاگرام + آپارات + لینکدین</t>
  </si>
  <si>
    <t>سناریو تصویر به تصویر:
ثانیه ۰–۸: دست در حال نوشتن روی صفحه نوتوپیا با خودکار → متن روی تصویر: «بنویسید»
ثانیه ۸–۱۸: انگشت در حال علامت زدن دایره‌های دسته‌بندی و تاریخ → متن: «علامت بزنید»
ثانیه ۱۸–۳۲: گوشی بالای صفحه گرفته می‌شود و اسکن انجام می‌شود → متن: «اسکن کنید»
ثانیه ۳۲–۴۵: صفحه اسکن‌شده داخل اپلیکیشن + جستجوی سریع → متن: «نوشته‌ها دیجیتال و قابل جستجو می‌شوند»
نکات اجباری:
• هیچ توضیح شفاهی طولانی نباشد.
• موسیقی آرام و بدون کلام.
• فیلم با گوشی قابل ضبط است.
• در پایان: لوگو + جمله «نوتوپیا – اولین نوشت‌افزار هوشمند ایران»</t>
  </si>
  <si>
    <t>نوتوپیا در سه قدم ساده: بنویسید، علامت بزنید، اسکن کنید. بدون تغییر عادت نوشتن، همه‌چیز دیجیتال می‌شود.</t>
  </si>
  <si>
    <t>۱ ویدئوی نهایی ۳۰–۴۵ ثانیه</t>
  </si>
  <si>
    <t>پست تکمیلی کاروسل: نوتوپیا در ۳ قدم</t>
  </si>
  <si>
    <t>پست کاروسل</t>
  </si>
  <si>
    <t>اسلاید ۱: عنوان «نوتوپیا در ۳ قدم»
اسلاید ۲:
قدم ۱: بنویسید (در نسخه مانا با خودکار پاک‌شونده)
قدم ۲: علامت بزنید (دسته‌بندی و تاریخ)
قدم ۳: اسکن کنید (اپلیکیشن صفحه را ذخیره می‌کند)
اسلاید ۳: جمله نهایی «بدون تغییر عادت نوشتن، همه‌چیز دیجیتال می‌شود»</t>
  </si>
  <si>
    <t>سه قدم ساده. یک نتیجه هوشمند.</t>
  </si>
  <si>
    <t>استوری سوال متداول درباره خودکار</t>
  </si>
  <si>
    <t>فریم ۱: سوال «آیا باید خودکار خاصی استفاده کنم؟»
فریم ۲: جواب «در نسخه مانا بله. از خودکار پاک‌شونده استفاده می‌شود تا بتوانید صفحه را پاک کنید و دوباره بنویسید.»
فریم ۳: «این قابلیت باعث می‌شود یک دفتر را بارها استفاده کنید و همزمان همه نوشته‌ها در اپلیکیشن ذخیره بمانند.»
فریم ۴: دعوت به دیدن ویدئوی اصلی</t>
  </si>
  <si>
    <t>استوری ۴ فریمی</t>
  </si>
  <si>
    <t>نکات اجرایی هفته: نسخه مانا: خودکار پاک‌شونده یک قابلیت است (صفحات قابل استفاده مجدد)، نه نقطه ضعف. در محتوا این موضوع را مثبت و ارزش‌مند نشان دهید.</t>
  </si>
  <si>
    <t>هفته 3 — تفاوت با دفتر و سررسید معمولی</t>
  </si>
  <si>
    <t>هدف هفته: جدا کردن واضح نوتوپیا از کالای معمولی و تثبیت جایگاه «نوشت‌افزار هوشمند».</t>
  </si>
  <si>
    <t>پست مقایسه‌ای شفاف</t>
  </si>
  <si>
    <t>پست کاروسل یا تصویری</t>
  </si>
  <si>
    <t>ساختار پیشنهادی کاروسل:
اسلاید ۱: عنوان «سررسید معمولی در برابر نوتوپیا»
اسلاید ۲: جدول یا دو ستون مقایسه (ظاهر مشابه / قابلیت دیجیتال / استفاده مجدد صفحه / هدیه ماندگار)
اسلاید ۳: جمع‌بندی یک جمله‌ای: «ظاهر یک سررسید، قابلیت یک ابزار هوشمند.»</t>
  </si>
  <si>
    <t>ظاهر آشنا. قابلیت متفاوت. نوتوپیا همان دفتر همیشگی است که دیگر محدود به کاغذ نمی‌ماند.</t>
  </si>
  <si>
    <t>۱ پست مقایسه‌ای</t>
  </si>
  <si>
    <t>استوری مقایسه سریع</t>
  </si>
  <si>
    <t>۳ یا ۴ فریم: یک تفاوت در هر فریم + دعوت به پست اصلی</t>
  </si>
  <si>
    <t>استوری ۳–۴ فریمی</t>
  </si>
  <si>
    <t>متن کمکی برای فروشنده</t>
  </si>
  <si>
    <t>متن داخلی</t>
  </si>
  <si>
    <t>تیم فروش</t>
  </si>
  <si>
    <t>یک پاراگراف کوتاه آماده که فروشنده بتواند در جلسه یا پیام برای توضیح تفاوت استفاده کند.</t>
  </si>
  <si>
    <t>نوتوپیا ظاهر یک سررسید باکیفیت را دارد، اما نوشته‌ها اسکن و قابل جستجو می‌شوند و در نسخه مانا صفحات قابل استفاده مجدد هستند. این تفاوت باعث می‌شود هم به‌عنوان هدیه خاص دیده شود و هم واقعاً استفاده شود.</t>
  </si>
  <si>
    <t>۱ متن استاندارد برای فروش</t>
  </si>
  <si>
    <t>نکات اجرایی هفته: از زبان تهاجمی علیه رقبا خودداری کنید. تمرکز روی تفاوت ارزش باشد.</t>
  </si>
  <si>
    <t>هفته 4 — معرفی مدل‌های فیزیکی (بخش ۱)</t>
  </si>
  <si>
    <t>هدف هفته: مشتری با ظاهر، رنگ و جلد محصول راحت‌تر ارتباط بگیرد و سوالات رایج رنگ/جلد کاهش یابد.</t>
  </si>
  <si>
    <t>پست/ویدئو نمایش رنگ و جلد</t>
  </si>
  <si>
    <t>پست یا ویدئوی کوتاه</t>
  </si>
  <si>
    <t>نمایش واضح مدل‌های موجود:
• هر مدل با نام یا کد مشخص
• رنگ و جنس جلد به وضوح دیده شود
• یک جمله ارزش برای هر مدل (مثلاً حس رسمی برای مدیران / حس مدرن برای تیم‌های جوان)
از عکس واقعی یا رندر باکیفیت استفاده کنید.</t>
  </si>
  <si>
    <t>انتخاب ظاهر، بخشی از تجربه هدیه است. مدل‌های نوتوپیا برای سلیقه‌ها و موقعیت‌های مختلف طراحی شده‌اند.</t>
  </si>
  <si>
    <t>۱ پست یا ویدئوی نمایش مدل‌ها</t>
  </si>
  <si>
    <t>استوری جزئیات فیزیکی</t>
  </si>
  <si>
    <t>فریم‌های نزدیک از جلد، لبه صفحات، کیفیت چاپ یا جزئیات لمسی (در صورت امکان)</t>
  </si>
  <si>
    <t>استوری جزئیات</t>
  </si>
  <si>
    <t>پاسخ آماده به سوال رنگ و جلد</t>
  </si>
  <si>
    <t>تیم فروش + پشتیبانی</t>
  </si>
  <si>
    <t>۲–۳ پاسخ کوتاه استاندارد برای سوال‌های پرتکرار درباره رنگ، جلد و تفاوت مدل‌ها.</t>
  </si>
  <si>
    <t>۲–۳ پاسخ استاندارد</t>
  </si>
  <si>
    <t>نکات اجرایی هفته: قبل از انتشار، با تیم تولید فیزیکی هماهنگ کنید که مدل‌های نمایش‌داده‌شده موجود و قابل سفارش باشند.</t>
  </si>
  <si>
    <t>هفته 5 — پاسخ به اعتراض رایج قیمت</t>
  </si>
  <si>
    <t>هدف هفته: کاهش اصطکاک فروش با پاسخ شفاف و منطقی به سوال «چرا گران‌تر است؟»</t>
  </si>
  <si>
    <t>پست «چرا نوتوپیا گران‌تر از سررسید معمولی است؟»</t>
  </si>
  <si>
    <t>پست</t>
  </si>
  <si>
    <t>اینستاگرام + لینکدین</t>
  </si>
  <si>
    <t>ساختار:
۱. پذیرش سوال (سوال رایجی است)
۲. سه دلیل ارزش (قابلیت دیجیتال + تجربه هدیه ماندگار + استفاده واقعی بعد از هدیه)
۳. جمع‌بندی: قیمت بالاتر در ازای ارزشی است که سررسید معمولی نمی‌دهد.</t>
  </si>
  <si>
    <t>سوال رایجی می‌شنویم: چرا نوتوپیا از سررسید معمولی گران‌تر است؟ چون فقط ظاهر یک دفتر را ندارد. نوشته‌ها دیجیتال می‌شوند، تجربه هدیه ماندگارتر است و در نسخه مانا صفحات قابل استفاده مجدد هستند. قیمت، بازتاب ارزش است نه فقط هزینه کاغذ.</t>
  </si>
  <si>
    <t>۱ پست پاسخ به اعتراض قیمت</t>
  </si>
  <si>
    <t>استوری خلاصه همان پاسخ</t>
  </si>
  <si>
    <t>۳ فریم خلاصه همان سه دلیل ارزش</t>
  </si>
  <si>
    <t>استوری ۳ فریمی</t>
  </si>
  <si>
    <t>پاسخ استاندارد برای فروشنده در جلسه</t>
  </si>
  <si>
    <t>یک پاسخ ۳۰–۴۵ ثانیه‌ای شفاهی آماده که فروشنده در جلسه استفاده کند.</t>
  </si>
  <si>
    <t>«قیمت نوتوپیا بالاتر از یک سررسید معمولی است چون علاوه بر کیفیت فیزیکی، قابلیت دیجیتال و در نسخه مانا امکان استفاده مجدد صفحات را دارد. مشتری‌هایی که این تفاوت را می‌بینند، معمولاً آن را به‌عنوان هزینه هدیه خاص می‌پذیرند نه هزینه دفتر.»</t>
  </si>
  <si>
    <t>۱ پاسخ استاندارد جلسه</t>
  </si>
  <si>
    <t>نکات اجرایی هفته: لحن دفاعی نباشد. لحن توضیح ارزش باشد.</t>
  </si>
  <si>
    <t>هفته 6 — Case Study شماره ۱ (روایت داخلی)</t>
  </si>
  <si>
    <t>هدف هفته: ایجاد اعتماد با داستان واقعی از یک سفارش موفق قبلی (بدون نیاز به نقل‌قول مستقیم مشتری).</t>
  </si>
  <si>
    <t>داستان کوتاه Case Study ۱</t>
  </si>
  <si>
    <t>پست / کاروسل</t>
  </si>
  <si>
    <t>قالب اجباری روایت:
۱. مشتری چه نیازی داشت؟ (مثلاً هدیه پایان سال به مشتریان کلیدی)
۲. چرا نوتوپیا انتخاب شد؟
۳. چه چیزی تحویل شد؟ (تیراژ تقریبی، مدل، شخصی‌سازی در صورت وجود)
۴. چه نتیجه‌ای دیده شد؟ (استفاده واقعی، بازخورد کلی، سفارش بعدی در صورت وجود)
نام شرکت را در صورت عدم مجوز می‌توانید کلی نگه دارید (مثلاً «یک شرکت صنعتی»).</t>
  </si>
  <si>
    <t>یک سازمان صنعتی به دنبال هدیه‌ای بود که هم خاص باشد و هم بعد از تحویل واقعاً استفاده شود. نوتوپیا را انتخاب کردند. نتیجه: هدیه‌ای که روی میز ماند و فراموش نشد.</t>
  </si>
  <si>
    <t>۱ Case Study کوتاه</t>
  </si>
  <si>
    <t>استوری خلاصه داستان</t>
  </si>
  <si>
    <t>۴ فریم: نیاز → انتخاب → تحویل → نتیجه</t>
  </si>
  <si>
    <t>نسخه کوتاه برای ارسال توسط فروشنده</t>
  </si>
  <si>
    <t>متن</t>
  </si>
  <si>
    <t>نسخه ۶۰–۸۰ کلمه‌ای همان داستان برای ارسال در واتساپ یا ایمیل به فرصت‌های فعال.</t>
  </si>
  <si>
    <t>۱ متن کوتاه Case Study</t>
  </si>
  <si>
    <t>نکات اجرایی هفته: Case Study روایت داخلی است. نیاز به تأیید کتبی مشتری ندارد مگر اینکه نام دقیق شرکت ذکر شود.</t>
  </si>
  <si>
    <t>هفته 7 — مدل‌های فیزیکی (بخش ۲) + شخصی‌سازی</t>
  </si>
  <si>
    <t>هدف هفته: پاسخ به سوالات رنگ/جلد/مدل و نشان دادن امکان شخصی‌سازی برای هدیه سازمانی.</t>
  </si>
  <si>
    <t>نمایش تفاوت مدل‌ها + امکان شخصی‌سازی</t>
  </si>
  <si>
    <t>پست یا ویدئو</t>
  </si>
  <si>
    <t>• مقایسه کنار هم مدل‌ها
• نشان دادن گزینه‌های شخصی‌سازی (لوگو، پیام، رنگ سازمانی در صورت امکان)
• اتصال به ارزش هدیه: «هدیه‌ای که با هویت سازمان شما هماهنگ است»</t>
  </si>
  <si>
    <t>مدل و شخصی‌سازی، بخشی از تجربه هدیه‌ای است که قرار است خاص به نظر برسد.</t>
  </si>
  <si>
    <t>۱ پست/ویدئو مدل + شخصی‌سازی</t>
  </si>
  <si>
    <t>استوری سوالات رایج مدل</t>
  </si>
  <si>
    <t>۲–۳ سوال پرتکرار درباره مدل و شخصی‌سازی + پاسخ خیلی کوتاه</t>
  </si>
  <si>
    <t>استوری سوال و جواب</t>
  </si>
  <si>
    <t>چک‌لیست هماهنگی با تولید</t>
  </si>
  <si>
    <t>داخلی</t>
  </si>
  <si>
    <t>تیم محتوا + تولید</t>
  </si>
  <si>
    <t>قبل از انتشار محتوای مدل جدید، تأیید موجودی و قابلیت سفارش از تیم تولید گرفته شود.</t>
  </si>
  <si>
    <t>تأیید هماهنگی</t>
  </si>
  <si>
    <t>نکات اجرایی هفته: فقط مدل‌هایی را نشان دهید که واقعاً قابل سفارش هستند.</t>
  </si>
  <si>
    <t>هفته 8 — هدیه سازمانی چیست و چرا مهم است؟</t>
  </si>
  <si>
    <t>هدف هفته: آماده‌سازی ذهن مخاطب برای فصل هدیه پایان سال و اتصال نوتوپیا به این موقعیت.</t>
  </si>
  <si>
    <t>محتوای آموزشی حول تجربه گیرنده</t>
  </si>
  <si>
    <t>تمرکز روی:
• هدیه سازمانی فقط «دادن یک چیز» نیست
• تجربه گیرنده در لحظه دریافت و هفته‌های بعد مهم است
• نوتوپیا چطور این تجربه را بهتر می‌کند</t>
  </si>
  <si>
    <t>هدیه سازمانی موفق، هدیه‌ای است که بعد از باز شدن هم به کار بیاید و برند شما را یادآوری کند.</t>
  </si>
  <si>
    <t>۱ پست آموزشی هدیه سازمانی</t>
  </si>
  <si>
    <t>استوری یادآوری فصل هدیه</t>
  </si>
  <si>
    <t>فریم‌های ملایم درباره نزدیک شدن زمان تصمیم‌گیری هدیه پایان سال</t>
  </si>
  <si>
    <t>استوری یادآوری</t>
  </si>
  <si>
    <t>متن کمکی فروش برای شروع گفتگوی هدیه</t>
  </si>
  <si>
    <t>یک متن کوتاه برای شروع گفتگو با مشتریان قبلی یا فرصت‌های گرم درباره هدیه پایان سال.</t>
  </si>
  <si>
    <t>۱ متن شروع گفتگو</t>
  </si>
  <si>
    <t>نکات اجرایی هفته: از این هفته به بعد حداقل نیمی از محتوا باید حول هدیه سازمانی و تجربه گیرنده باشد.</t>
  </si>
  <si>
    <t>هفته 9 — تجربه گیرنده هدیه</t>
  </si>
  <si>
    <t>هدف هفته: اتصال احساسی خریدار سازمانی به لحظه دریافت و استفاده هدیه توسط گیرنده نهایی.</t>
  </si>
  <si>
    <t>ویدئو یا پست لحظه دریافت / استفاده</t>
  </si>
  <si>
    <t>ویدئو یا پست</t>
  </si>
  <si>
    <t>اگر ویدئوی واقعی از گیرنده ندارید:
• بازسازی ساده با دست و محصول
• یا تمرکز روی جزئیات باز کردن و اولین استفاده
لحن احساسی ملایم، نه تبلیغاتی تند.</t>
  </si>
  <si>
    <t>بهترین هدیه، هدیه‌ای است که بعد از باز شدن هم روی میز می‌ماند و استفاده می‌شود.</t>
  </si>
  <si>
    <t>۱ ویدئو یا پست تجربه گیرنده</t>
  </si>
  <si>
    <t>استوری حس هدیه</t>
  </si>
  <si>
    <t>فریم‌های کوتاه از حس باز کردن و استفاده اولیه</t>
  </si>
  <si>
    <t>نسخه کوتاه برای ارسال به فرصت‌های فعال</t>
  </si>
  <si>
    <t>متن کوتاه همراه لینک محتوا برای ارسال به کسانی که در حال بررسی هدیه پایان سال هستند.</t>
  </si>
  <si>
    <t>۱ متن ارسال</t>
  </si>
  <si>
    <t>نکات اجرایی هفته: اگر ویدئوی واقعی از مشتری ندارید، بازسازی ساده و صادقانه بهتر از ادعاهای غیرواقعی است.</t>
  </si>
  <si>
    <t>هفته 10 — Case Study ۲ + زمان‌بندی خرید</t>
  </si>
  <si>
    <t>هدف هفته: دومین داستان اعتماد + ایجاد فوریت ملایم برای تصمیم‌گیری در فصل هدیه.</t>
  </si>
  <si>
    <t>همان قالب Case Study ۱ با داستان متفاوت (ترجیحاً صنعت یا کاربرد دیگر).</t>
  </si>
  <si>
    <t>۱ Case Study دوم</t>
  </si>
  <si>
    <t>یادآوری پنجره زمانی پایان سال</t>
  </si>
  <si>
    <t>پست یا استوری</t>
  </si>
  <si>
    <t>یادآوری محترمانه که تصمیم‌گیری و تولید/تحویل زمان می‌برد و پنجره زمانی محدود است. بدون فشار فروش تند.</t>
  </si>
  <si>
    <t>برای هدیه پایان سال، تصمیم‌گیری زودتر = انتخاب بهتر و تحویل به‌موقع.</t>
  </si>
  <si>
    <t>۱ محتوای زمان‌بندی</t>
  </si>
  <si>
    <t>متن پیگیری برای فرصت‌های فعال</t>
  </si>
  <si>
    <t>متن کوتاه پیگیری با اشاره به محدودیت زمانی تولید/تحویل.</t>
  </si>
  <si>
    <t>۱ متن پیگیری</t>
  </si>
  <si>
    <t>نکات اجرایی هفته: فوریت باید واقعی و محترمانه باشد، نه ساختگی.</t>
  </si>
  <si>
    <t>هفته 11 — پاسخ به اعتراض زمان تحویل و تیراژ</t>
  </si>
  <si>
    <t>هدف هفته: بستن دو اعتراض متداول فصل هدیه با پاسخ شفاف و هماهنگ با تولید.</t>
  </si>
  <si>
    <t>پست پاسخ به اعتراض زمان تحویل و تیراژ</t>
  </si>
  <si>
    <t>دو بخش جدا یا یک کاروسل:
بخش ۱: زمان تحویل — چه عواملی روی زمان اثر می‌گذارد و چطور می‌توان برنامه‌ریزی کرد.
بخش ۲: تیراژ — حداقل/حداکثر منطقی و انعطاف در سفارش‌های سازمانی.
اعداد دقیق را فقط بعد از هماهنگی با تولید بنویسید.</t>
  </si>
  <si>
    <t>دو سوال پرتکرار در فصل هدیه: زمان تحویل چقدر است و تیراژ چطور کار می‌کند؟ پاسخ شفاف، برنامه‌ریزی را آسان‌تر می‌کند.</t>
  </si>
  <si>
    <t>۱ پست</t>
  </si>
  <si>
    <t>فریم ۱: «سوال رایج: تحویل چقدر طول می‌کشد؟»
فریم‌های بعدی: پاسخ خلاصه + دعوت به هماهنگی زودتر</t>
  </si>
  <si>
    <t>پاسخ استاندارد برای فروش</t>
  </si>
  <si>
    <t>دو پاسخ کوتاه و استاندارد برای اعتراض زمان تحویل و تیراژ (هماهنگ با واقعیت تولید).</t>
  </si>
  <si>
    <t>۲ پاسخ استاندارد</t>
  </si>
  <si>
    <t>نکات اجرایی هفته: قبل از انتشار، با تیم تولید و فروش هماهنگ کنید که اعداد و بازه‌های زمانی صحیح باشند.</t>
  </si>
  <si>
    <t>هفته 12 — جمع‌بندی + دعوت ملایم</t>
  </si>
  <si>
    <t>هدف هفته: دوره ۳ ماهه با وضوح ارزش‌ها بسته شود و دعوت غیر فشاری برای بررسی نوتوپیا به‌عنوان گزینه هدیه ارائه گردد.</t>
  </si>
  <si>
    <t>پست جمع‌بندی ارزش‌های نوتوپیا</t>
  </si>
  <si>
    <t>اسلایدها:
۱. نوتوپیا به چه دردی می‌خورد؟
۲. چطور کار می‌کند؟
۳. چه فرقی با معمولی دارد؟
۴. مدل‌ها و شخصی‌سازی
۵. دعوت ملایم: «اگر برای هدیه سازمانی امسال در حال بررسی هستید، خوشحال می‌شویم گفتگو کنیم.»</t>
  </si>
  <si>
    <t>در ۱۲ هفته گذشته تلاش کردیم شفاف بگوییم نوتوپیا چیست، به چه دردی می‌خورد و چرا برای هدیه سازمانی گزینه متفاوتی است. اگر در حال بررسی هستید، مسیر گفتگو باز است.</t>
  </si>
  <si>
    <t>۱ پست جمع‌بندی</t>
  </si>
  <si>
    <t>استوری پایانی</t>
  </si>
  <si>
    <t>فریم ۱: «۱۲ هفته صحبت کردیم»
فریم ۲: «از کاربرد تا تجربه گیرنده»
فریم ۳: «اگر سوالی دارید یا در حال بررسی هستید، در پیام مستقیم بپرسید»</t>
  </si>
  <si>
    <t>گزارش داخلی ۳ ماهه برای مدیریت</t>
  </si>
  <si>
    <t>گزارش</t>
  </si>
  <si>
    <t>خلاصه کارهای انجام‌شده، دارایی‌های ساخته‌شده (Case Study، ویدئوها، پاسخ اعتراض‌ها)، آمار کلی و پیشنهاد قدم بعدی.</t>
  </si>
  <si>
    <t>۱ گزارش کوتاه داخلی</t>
  </si>
  <si>
    <t>نکات اجرایی هفته: لحن فروش مستقیم و فشاری نباشد. این کار جمع‌بندی دوره است نه کمپین فروش تند.</t>
  </si>
  <si>
    <t>انجام‌شده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</si>
</sst>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quot;%&quot;"/>
    <numFmt numFmtId="165" formatCode="0&quot;%&quot;"/>
  </numFmts>
  <fonts count="18" x14ac:knownFonts="1">
    <font>
      <sz val="11"/>
      <color theme="1"/>
      <name val="Calibri"/>
      <family val="2"/>
      <scheme val="minor"/>
    </font>
    <font>
      <b/>
      <sz val="14"/>
      <color rgb="FF1F4E79"/>
      <name val="Tahoma"/>
    </font>
    <font>
      <i/>
      <sz val="10"/>
      <color rgb="FF333333"/>
      <name val="Tahoma"/>
    </font>
    <font>
      <b/>
      <sz val="11"/>
      <color rgb="FFFFFFFF"/>
      <name val="Tahoma"/>
    </font>
    <font>
      <sz val="10"/>
      <name val="Tahoma"/>
    </font>
    <font>
      <i/>
      <sz val="9"/>
      <name val="Tahoma"/>
    </font>
    <font>
      <b/>
      <sz val="12"/>
      <color rgb="FF1F4E79"/>
      <name val="Tahoma"/>
    </font>
    <font>
      <b/>
      <sz val="10"/>
      <name val="Tahoma"/>
    </font>
    <font>
      <sz val="8"/>
      <color rgb="FF666666"/>
      <name val="Tahoma"/>
    </font>
    <font>
      <b/>
      <sz val="10"/>
      <color rgb="FFFFFFFF"/>
      <name val="Tahoma"/>
    </font>
    <font>
      <i/>
      <sz val="9"/>
      <color rgb="FF666666"/>
      <name val="Vazir"/>
      <family val="2"/>
    </font>
    <font>
      <sz val="9"/>
      <name val="Vazir"/>
      <family val="2"/>
    </font>
    <font>
      <b/>
      <sz val="9"/>
      <color rgb="FFFFFFFF"/>
      <name val="Vazir"/>
      <family val="2"/>
    </font>
    <font>
      <sz val="9"/>
      <color theme="1"/>
      <name val="Vazir"/>
      <family val="2"/>
    </font>
    <font>
      <b/>
      <sz val="9"/>
      <color rgb="FF1F4E79"/>
      <name val="Vazir"/>
      <family val="2"/>
    </font>
    <font>
      <b/>
      <sz val="9"/>
      <name val="Vazir"/>
      <family val="2"/>
    </font>
    <font>
      <b/>
      <sz val="8"/>
      <color rgb="FFFFFFFF"/>
      <name val="Vazir"/>
      <family val="2"/>
    </font>
    <font>
      <sz val="8"/>
      <name val="Vazir"/>
      <family val="2"/>
    </font>
  </fonts>
  <fills count="12">
    <fill>
      <patternFill patternType="none"/>
    </fill>
    <fill>
      <patternFill patternType="gray125"/>
    </fill>
    <fill>
      <patternFill patternType="solid">
        <fgColor rgb="FFDDEBF7"/>
      </patternFill>
    </fill>
    <fill>
      <patternFill patternType="solid">
        <fgColor rgb="FF1F4E79"/>
      </patternFill>
    </fill>
    <fill>
      <patternFill patternType="solid">
        <fgColor rgb="FFFFEB9C"/>
      </patternFill>
    </fill>
    <fill>
      <patternFill patternType="solid">
        <fgColor rgb="FFFCE4D6"/>
      </patternFill>
    </fill>
    <fill>
      <patternFill patternType="solid">
        <fgColor rgb="FFFFF2CC"/>
      </patternFill>
    </fill>
    <fill>
      <patternFill patternType="solid">
        <fgColor rgb="FF2E75B6"/>
      </patternFill>
    </fill>
    <fill>
      <patternFill patternType="solid">
        <fgColor rgb="FFF2F2F2"/>
      </patternFill>
    </fill>
    <fill>
      <patternFill patternType="solid">
        <fgColor rgb="FFFFFFFF"/>
      </patternFill>
    </fill>
    <fill>
      <patternFill patternType="solid">
        <fgColor rgb="FFE2D5F1"/>
      </patternFill>
    </fill>
    <fill>
      <patternFill patternType="solid">
        <fgColor rgb="FFE2EFDA"/>
      </patternFill>
    </fill>
  </fills>
  <borders count="5">
    <border>
      <left/>
      <right/>
      <top/>
      <bottom/>
      <diagonal/>
    </border>
    <border>
      <left style="thin">
        <color rgb="FFB0B0B0"/>
      </left>
      <right style="thin">
        <color rgb="FFB0B0B0"/>
      </right>
      <top style="thin">
        <color rgb="FFB0B0B0"/>
      </top>
      <bottom style="thin">
        <color rgb="FFB0B0B0"/>
      </bottom>
      <diagonal/>
    </border>
    <border>
      <left style="medium">
        <color rgb="FF1F4E79"/>
      </left>
      <right style="medium">
        <color rgb="FF1F4E79"/>
      </right>
      <top style="medium">
        <color rgb="FF1F4E79"/>
      </top>
      <bottom style="medium">
        <color rgb="FF1F4E79"/>
      </bottom>
      <diagonal/>
    </border>
    <border>
      <left/>
      <right style="thin">
        <color rgb="FFB0B0B0"/>
      </right>
      <top style="thin">
        <color rgb="FFB0B0B0"/>
      </top>
      <bottom style="thin">
        <color rgb="FFB0B0B0"/>
      </bottom>
      <diagonal/>
    </border>
    <border>
      <left/>
      <right style="medium">
        <color rgb="FF1F4E79"/>
      </right>
      <top style="medium">
        <color rgb="FF1F4E79"/>
      </top>
      <bottom style="medium">
        <color rgb="FF1F4E79"/>
      </bottom>
      <diagonal/>
    </border>
  </borders>
  <cellStyleXfs count="1">
    <xf numFmtId="0" fontId="0" fillId="0" borderId="0"/>
  </cellStyleXfs>
  <cellXfs count="53">
    <xf numFmtId="0" fontId="0" fillId="0" borderId="0" xfId="0"/>
    <xf numFmtId="0" fontId="3" fillId="3" borderId="1" xfId="0" applyFont="1" applyFill="1" applyBorder="1" applyAlignment="1">
      <alignment horizontal="center" vertical="center" wrapText="1"/>
    </xf>
    <xf numFmtId="0" fontId="4" fillId="0" borderId="1" xfId="0" applyFont="1" applyBorder="1" applyAlignment="1">
      <alignment horizontal="right" vertical="center" wrapText="1"/>
    </xf>
    <xf numFmtId="0" fontId="4" fillId="0" borderId="1" xfId="0" applyFont="1" applyBorder="1" applyAlignment="1">
      <alignment horizontal="center" vertical="center" wrapText="1"/>
    </xf>
    <xf numFmtId="0" fontId="7" fillId="2" borderId="1" xfId="0" applyFont="1" applyFill="1" applyBorder="1" applyAlignment="1">
      <alignment horizontal="center" vertical="center" wrapText="1"/>
    </xf>
    <xf numFmtId="0" fontId="0" fillId="2" borderId="1" xfId="0" applyFill="1" applyBorder="1"/>
    <xf numFmtId="0" fontId="1" fillId="2" borderId="0" xfId="0" applyFont="1" applyFill="1"/>
    <xf numFmtId="0" fontId="4" fillId="0" borderId="0" xfId="0" applyFont="1" applyAlignment="1">
      <alignment horizontal="right" vertical="center" wrapText="1"/>
    </xf>
    <xf numFmtId="0" fontId="6" fillId="8" borderId="0" xfId="0" applyFont="1" applyFill="1" applyAlignment="1">
      <alignment horizontal="right" vertical="center" wrapText="1"/>
    </xf>
    <xf numFmtId="0" fontId="7" fillId="0" borderId="0" xfId="0" applyFont="1" applyAlignment="1">
      <alignment horizontal="right" vertical="center" wrapText="1"/>
    </xf>
    <xf numFmtId="0" fontId="4" fillId="0" borderId="1" xfId="0" applyFont="1" applyBorder="1" applyAlignment="1">
      <alignment horizontal="right" vertical="top" wrapText="1"/>
    </xf>
    <xf numFmtId="0" fontId="0" fillId="6" borderId="2" xfId="0" applyFill="1" applyBorder="1"/>
    <xf numFmtId="0" fontId="8" fillId="0" borderId="0" xfId="0" applyFont="1"/>
    <xf numFmtId="0" fontId="3" fillId="7" borderId="1" xfId="0" applyFont="1" applyFill="1" applyBorder="1" applyAlignment="1">
      <alignment horizontal="center" vertical="center" wrapText="1"/>
    </xf>
    <xf numFmtId="0" fontId="7" fillId="8" borderId="0" xfId="0" applyFont="1" applyFill="1" applyAlignment="1">
      <alignment horizontal="center" vertical="center" wrapText="1"/>
    </xf>
    <xf numFmtId="0" fontId="0" fillId="9" borderId="1"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9" fillId="3" borderId="0" xfId="0" applyFont="1" applyFill="1" applyAlignment="1">
      <alignment horizontal="center" vertical="center" wrapText="1"/>
    </xf>
    <xf numFmtId="164" fontId="7" fillId="2" borderId="1" xfId="0" applyNumberFormat="1" applyFont="1" applyFill="1" applyBorder="1"/>
    <xf numFmtId="0" fontId="0" fillId="0" borderId="0" xfId="0"/>
    <xf numFmtId="0" fontId="6" fillId="5" borderId="0" xfId="0" applyFont="1" applyFill="1" applyAlignment="1">
      <alignment horizontal="right" vertical="center" wrapText="1"/>
    </xf>
    <xf numFmtId="0" fontId="2" fillId="0" borderId="0" xfId="0" applyFont="1" applyAlignment="1">
      <alignment horizontal="right" vertical="center" wrapText="1"/>
    </xf>
    <xf numFmtId="0" fontId="1" fillId="2" borderId="0" xfId="0" applyFont="1" applyFill="1" applyAlignment="1">
      <alignment horizontal="right" vertical="center" wrapText="1"/>
    </xf>
    <xf numFmtId="0" fontId="5" fillId="4" borderId="1" xfId="0" applyFont="1" applyFill="1" applyBorder="1" applyAlignment="1">
      <alignment horizontal="right" vertical="center" wrapText="1"/>
    </xf>
    <xf numFmtId="0" fontId="17" fillId="0" borderId="1" xfId="0" applyFont="1" applyBorder="1" applyAlignment="1">
      <alignment horizontal="right" vertical="center" wrapText="1" readingOrder="2"/>
    </xf>
    <xf numFmtId="0" fontId="12" fillId="3" borderId="0" xfId="0" applyFont="1" applyFill="1" applyAlignment="1">
      <alignment horizontal="center" vertical="center" wrapText="1" readingOrder="2"/>
    </xf>
    <xf numFmtId="0" fontId="13" fillId="0" borderId="0" xfId="0" applyFont="1" applyAlignment="1">
      <alignment readingOrder="2"/>
    </xf>
    <xf numFmtId="0" fontId="13" fillId="0" borderId="0" xfId="0" applyFont="1" applyAlignment="1">
      <alignment readingOrder="2"/>
    </xf>
    <xf numFmtId="0" fontId="10" fillId="0" borderId="0" xfId="0" applyFont="1" applyAlignment="1">
      <alignment horizontal="right" vertical="center" wrapText="1" readingOrder="2"/>
    </xf>
    <xf numFmtId="0" fontId="14" fillId="10" borderId="0" xfId="0" applyFont="1" applyFill="1" applyAlignment="1">
      <alignment readingOrder="2"/>
    </xf>
    <xf numFmtId="0" fontId="16" fillId="3" borderId="1" xfId="0" applyFont="1" applyFill="1" applyBorder="1" applyAlignment="1">
      <alignment horizontal="center" vertical="center" wrapText="1" readingOrder="2"/>
    </xf>
    <xf numFmtId="0" fontId="17" fillId="6" borderId="1" xfId="0" applyFont="1" applyFill="1" applyBorder="1" applyAlignment="1">
      <alignment horizontal="right" vertical="center" wrapText="1" readingOrder="2"/>
    </xf>
    <xf numFmtId="0" fontId="12" fillId="3" borderId="1" xfId="0" applyFont="1" applyFill="1" applyBorder="1" applyAlignment="1">
      <alignment horizontal="center" vertical="center" wrapText="1" readingOrder="2"/>
    </xf>
    <xf numFmtId="0" fontId="11" fillId="0" borderId="1" xfId="0" applyFont="1" applyBorder="1" applyAlignment="1">
      <alignment horizontal="center" vertical="center" wrapText="1" readingOrder="2"/>
    </xf>
    <xf numFmtId="0" fontId="11" fillId="0" borderId="1" xfId="0" applyFont="1" applyBorder="1" applyAlignment="1">
      <alignment horizontal="right" vertical="center" wrapText="1" readingOrder="2"/>
    </xf>
    <xf numFmtId="3" fontId="11" fillId="0" borderId="1" xfId="0" applyNumberFormat="1" applyFont="1" applyBorder="1" applyAlignment="1">
      <alignment horizontal="center" vertical="center" wrapText="1" readingOrder="2"/>
    </xf>
    <xf numFmtId="164" fontId="11" fillId="0" borderId="1" xfId="0" applyNumberFormat="1" applyFont="1" applyBorder="1" applyAlignment="1">
      <alignment horizontal="center" vertical="center" wrapText="1" readingOrder="2"/>
    </xf>
    <xf numFmtId="165" fontId="11" fillId="0" borderId="1" xfId="0" applyNumberFormat="1" applyFont="1" applyBorder="1" applyAlignment="1">
      <alignment horizontal="center" vertical="center" wrapText="1" readingOrder="2"/>
    </xf>
    <xf numFmtId="0" fontId="12" fillId="3" borderId="1" xfId="0" applyFont="1" applyFill="1" applyBorder="1" applyAlignment="1">
      <alignment horizontal="center" vertical="center" wrapText="1" readingOrder="2"/>
    </xf>
    <xf numFmtId="0" fontId="13" fillId="0" borderId="1" xfId="0" applyFont="1" applyBorder="1" applyAlignment="1">
      <alignment readingOrder="2"/>
    </xf>
    <xf numFmtId="0" fontId="15" fillId="2" borderId="1" xfId="0" applyFont="1" applyFill="1" applyBorder="1" applyAlignment="1">
      <alignment horizontal="center" vertical="center" wrapText="1" readingOrder="2"/>
    </xf>
    <xf numFmtId="3" fontId="15" fillId="2" borderId="1" xfId="0" applyNumberFormat="1" applyFont="1" applyFill="1" applyBorder="1" applyAlignment="1">
      <alignment horizontal="center" vertical="center" wrapText="1" readingOrder="2"/>
    </xf>
    <xf numFmtId="164" fontId="15" fillId="2" borderId="1" xfId="0" applyNumberFormat="1" applyFont="1" applyFill="1" applyBorder="1" applyAlignment="1">
      <alignment horizontal="center" vertical="center" wrapText="1" readingOrder="2"/>
    </xf>
    <xf numFmtId="165" fontId="15" fillId="2" borderId="1" xfId="0" applyNumberFormat="1" applyFont="1" applyFill="1" applyBorder="1" applyAlignment="1">
      <alignment horizontal="center" vertical="center" wrapText="1" readingOrder="2"/>
    </xf>
    <xf numFmtId="0" fontId="13" fillId="2" borderId="1" xfId="0" applyFont="1" applyFill="1" applyBorder="1" applyAlignment="1">
      <alignment readingOrder="2"/>
    </xf>
    <xf numFmtId="0" fontId="15" fillId="8" borderId="1" xfId="0" applyFont="1" applyFill="1" applyBorder="1" applyAlignment="1">
      <alignment horizontal="right" vertical="center" wrapText="1" readingOrder="2"/>
    </xf>
    <xf numFmtId="0" fontId="13" fillId="0" borderId="3" xfId="0" applyFont="1" applyBorder="1" applyAlignment="1">
      <alignment readingOrder="2"/>
    </xf>
    <xf numFmtId="0" fontId="14" fillId="11" borderId="2" xfId="0" applyFont="1" applyFill="1" applyBorder="1" applyAlignment="1">
      <alignment horizontal="center" vertical="center" wrapText="1" readingOrder="2"/>
    </xf>
    <xf numFmtId="0" fontId="13" fillId="0" borderId="4" xfId="0" applyFont="1" applyBorder="1" applyAlignment="1">
      <alignment readingOrder="2"/>
    </xf>
    <xf numFmtId="0" fontId="11" fillId="6" borderId="1" xfId="0" applyFont="1" applyFill="1" applyBorder="1" applyAlignment="1">
      <alignment readingOrder="2"/>
    </xf>
    <xf numFmtId="0" fontId="11" fillId="0" borderId="1" xfId="0" applyFont="1" applyBorder="1" applyAlignment="1">
      <alignment readingOrder="2"/>
    </xf>
    <xf numFmtId="0" fontId="14" fillId="0" borderId="0" xfId="0" applyFont="1" applyAlignment="1">
      <alignment readingOrder="2"/>
    </xf>
    <xf numFmtId="0" fontId="11" fillId="0" borderId="0" xfId="0" applyFont="1" applyAlignment="1">
      <alignment horizontal="right" vertical="center" wrapText="1" readingOrder="2"/>
    </xf>
  </cellXfs>
  <cellStyles count="1">
    <cellStyle name="Normal" xfId="0" builtinId="0"/>
  </cellStyles>
  <dxfs count="6">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5"/>
  <sheetViews>
    <sheetView showGridLines="0" rightToLeft="1" tabSelected="1" workbookViewId="0">
      <pane ySplit="13" topLeftCell="A14" activePane="bottomLeft" state="frozen"/>
      <selection pane="bottomLeft" activeCell="B8" sqref="B8"/>
    </sheetView>
  </sheetViews>
  <sheetFormatPr defaultRowHeight="15.75" x14ac:dyDescent="0.4"/>
  <cols>
    <col min="1" max="1" width="12" style="27" customWidth="1"/>
    <col min="2" max="2" width="28" style="27" customWidth="1"/>
    <col min="3" max="9" width="14" style="27" customWidth="1"/>
    <col min="10" max="10" width="18" style="27" customWidth="1"/>
    <col min="11" max="11" width="16" style="27" customWidth="1"/>
    <col min="12" max="16384" width="9.140625" style="27"/>
  </cols>
  <sheetData>
    <row r="1" spans="1:11" ht="27.95" customHeight="1" x14ac:dyDescent="0.4">
      <c r="A1" s="25" t="s">
        <v>0</v>
      </c>
      <c r="B1" s="26"/>
      <c r="C1" s="26"/>
      <c r="D1" s="26"/>
      <c r="E1" s="26"/>
      <c r="F1" s="26"/>
      <c r="G1" s="26"/>
      <c r="H1" s="26"/>
      <c r="I1" s="26"/>
      <c r="J1" s="26"/>
      <c r="K1" s="26"/>
    </row>
    <row r="2" spans="1:11" x14ac:dyDescent="0.4">
      <c r="A2" s="28" t="s">
        <v>1</v>
      </c>
      <c r="B2" s="26"/>
      <c r="C2" s="26"/>
      <c r="D2" s="26"/>
      <c r="E2" s="26"/>
      <c r="F2" s="26"/>
      <c r="G2" s="26"/>
      <c r="H2" s="26"/>
      <c r="I2" s="26"/>
      <c r="J2" s="26"/>
      <c r="K2" s="26"/>
    </row>
    <row r="4" spans="1:11" x14ac:dyDescent="0.4">
      <c r="A4" s="29" t="s">
        <v>2</v>
      </c>
      <c r="B4" s="26"/>
      <c r="C4" s="26"/>
      <c r="D4" s="26"/>
      <c r="E4" s="26"/>
    </row>
    <row r="5" spans="1:11" x14ac:dyDescent="0.4">
      <c r="A5" s="30" t="s">
        <v>3</v>
      </c>
      <c r="B5" s="30" t="s">
        <v>4</v>
      </c>
      <c r="C5" s="30" t="s">
        <v>5</v>
      </c>
      <c r="D5" s="30" t="s">
        <v>6</v>
      </c>
      <c r="E5" s="30" t="s">
        <v>7</v>
      </c>
    </row>
    <row r="6" spans="1:11" ht="30" x14ac:dyDescent="0.4">
      <c r="A6" s="24" t="s">
        <v>8</v>
      </c>
      <c r="B6" s="24" t="s">
        <v>9</v>
      </c>
      <c r="C6" s="24" t="s">
        <v>10</v>
      </c>
      <c r="D6" s="31"/>
      <c r="E6" s="24"/>
    </row>
    <row r="7" spans="1:11" ht="30" x14ac:dyDescent="0.4">
      <c r="A7" s="24" t="s">
        <v>11</v>
      </c>
      <c r="B7" s="24" t="s">
        <v>12</v>
      </c>
      <c r="C7" s="24" t="s">
        <v>13</v>
      </c>
      <c r="D7" s="31"/>
      <c r="E7" s="24"/>
    </row>
    <row r="8" spans="1:11" ht="30" x14ac:dyDescent="0.4">
      <c r="A8" s="24" t="s">
        <v>14</v>
      </c>
      <c r="B8" s="24" t="s">
        <v>15</v>
      </c>
      <c r="C8" s="24" t="s">
        <v>10</v>
      </c>
      <c r="D8" s="31"/>
      <c r="E8" s="24"/>
    </row>
    <row r="9" spans="1:11" ht="30" x14ac:dyDescent="0.4">
      <c r="A9" s="24" t="s">
        <v>16</v>
      </c>
      <c r="B9" s="24" t="s">
        <v>17</v>
      </c>
      <c r="C9" s="24" t="s">
        <v>10</v>
      </c>
      <c r="D9" s="31"/>
      <c r="E9" s="24"/>
    </row>
    <row r="10" spans="1:11" ht="30" x14ac:dyDescent="0.4">
      <c r="A10" s="24" t="s">
        <v>18</v>
      </c>
      <c r="B10" s="24" t="s">
        <v>19</v>
      </c>
      <c r="C10" s="24" t="s">
        <v>20</v>
      </c>
      <c r="D10" s="31"/>
      <c r="E10" s="24"/>
    </row>
    <row r="12" spans="1:11" x14ac:dyDescent="0.4">
      <c r="A12" s="29" t="s">
        <v>21</v>
      </c>
      <c r="B12" s="26"/>
      <c r="C12" s="26"/>
      <c r="D12" s="26"/>
      <c r="E12" s="26"/>
      <c r="F12" s="26"/>
      <c r="G12" s="26"/>
      <c r="H12" s="26"/>
      <c r="I12" s="26"/>
      <c r="J12" s="26"/>
      <c r="K12" s="26"/>
    </row>
    <row r="13" spans="1:11" x14ac:dyDescent="0.4">
      <c r="A13" s="32" t="s">
        <v>22</v>
      </c>
      <c r="B13" s="32" t="s">
        <v>23</v>
      </c>
      <c r="C13" s="32" t="s">
        <v>24</v>
      </c>
      <c r="D13" s="32" t="s">
        <v>25</v>
      </c>
      <c r="E13" s="32" t="s">
        <v>26</v>
      </c>
      <c r="F13" s="32" t="s">
        <v>27</v>
      </c>
      <c r="G13" s="32" t="s">
        <v>28</v>
      </c>
      <c r="H13" s="32" t="s">
        <v>29</v>
      </c>
      <c r="I13" s="32" t="s">
        <v>30</v>
      </c>
      <c r="J13" s="32" t="s">
        <v>31</v>
      </c>
      <c r="K13" s="32" t="s">
        <v>32</v>
      </c>
    </row>
    <row r="14" spans="1:11" x14ac:dyDescent="0.4">
      <c r="A14" s="33">
        <v>1</v>
      </c>
      <c r="B14" s="34" t="s">
        <v>33</v>
      </c>
      <c r="C14" s="33" t="str">
        <f>'هفته 1'!B12</f>
        <v>انجام‌شده</v>
      </c>
      <c r="D14" s="35">
        <f>IF('هفته 1'!B21="","",'هفته 1'!B21)</f>
        <v>0</v>
      </c>
      <c r="E14" s="35">
        <f>IF('هفته 1'!C21="","",'هفته 1'!C21)</f>
        <v>0</v>
      </c>
      <c r="F14" s="36" t="str">
        <f t="shared" ref="F14:F25" si="0">IF(OR(D14="",D14=0),"",ROUND(E14/D14*100,1))</f>
        <v/>
      </c>
      <c r="G14" s="35">
        <f>IF('هفته 1'!E21="","",'هفته 1'!E21)</f>
        <v>0</v>
      </c>
      <c r="H14" s="35">
        <f>IF('هفته 1'!F21="","",'هفته 1'!F21)</f>
        <v>0</v>
      </c>
      <c r="I14" s="33">
        <v>3</v>
      </c>
      <c r="J14" s="37">
        <f t="shared" ref="J14:J25" si="1">IF(C14="انجام‌شده",100,IF(C14="ناقص",50,IF(C14="انجام‌نشده",0,"")))</f>
        <v>100</v>
      </c>
      <c r="K14" s="33" t="str">
        <f t="shared" ref="K14:K25" si="2">IF(C14="انجام‌شده","✅ کامل",IF(C14="ناقص","⚠️ ناقص",IF(C14="انجام‌نشده","❌ نشده","")))</f>
        <v>✅ کامل</v>
      </c>
    </row>
    <row r="15" spans="1:11" x14ac:dyDescent="0.4">
      <c r="A15" s="33">
        <v>2</v>
      </c>
      <c r="B15" s="34" t="s">
        <v>34</v>
      </c>
      <c r="C15" s="33">
        <f>'هفته 2'!B12</f>
        <v>0</v>
      </c>
      <c r="D15" s="35">
        <f>IF('هفته 2'!B21="","",'هفته 2'!B21)</f>
        <v>0</v>
      </c>
      <c r="E15" s="35">
        <f>IF('هفته 2'!C21="","",'هفته 2'!C21)</f>
        <v>0</v>
      </c>
      <c r="F15" s="36" t="str">
        <f t="shared" si="0"/>
        <v/>
      </c>
      <c r="G15" s="35">
        <f>IF('هفته 2'!E21="","",'هفته 2'!E21)</f>
        <v>0</v>
      </c>
      <c r="H15" s="35">
        <f>IF('هفته 2'!F21="","",'هفته 2'!F21)</f>
        <v>0</v>
      </c>
      <c r="I15" s="33">
        <v>3</v>
      </c>
      <c r="J15" s="37" t="str">
        <f t="shared" si="1"/>
        <v/>
      </c>
      <c r="K15" s="33" t="str">
        <f t="shared" si="2"/>
        <v/>
      </c>
    </row>
    <row r="16" spans="1:11" x14ac:dyDescent="0.4">
      <c r="A16" s="33">
        <v>3</v>
      </c>
      <c r="B16" s="34" t="s">
        <v>35</v>
      </c>
      <c r="C16" s="33">
        <f>'هفته 3'!B12</f>
        <v>0</v>
      </c>
      <c r="D16" s="35">
        <f>IF('هفته 3'!B21="","",'هفته 3'!B21)</f>
        <v>0</v>
      </c>
      <c r="E16" s="35">
        <f>IF('هفته 3'!C21="","",'هفته 3'!C21)</f>
        <v>0</v>
      </c>
      <c r="F16" s="36" t="str">
        <f t="shared" si="0"/>
        <v/>
      </c>
      <c r="G16" s="35">
        <f>IF('هفته 3'!E21="","",'هفته 3'!E21)</f>
        <v>0</v>
      </c>
      <c r="H16" s="35">
        <f>IF('هفته 3'!F21="","",'هفته 3'!F21)</f>
        <v>0</v>
      </c>
      <c r="I16" s="33">
        <v>3</v>
      </c>
      <c r="J16" s="37" t="str">
        <f t="shared" si="1"/>
        <v/>
      </c>
      <c r="K16" s="33" t="str">
        <f t="shared" si="2"/>
        <v/>
      </c>
    </row>
    <row r="17" spans="1:11" x14ac:dyDescent="0.4">
      <c r="A17" s="33">
        <v>4</v>
      </c>
      <c r="B17" s="34" t="s">
        <v>36</v>
      </c>
      <c r="C17" s="33">
        <f>'هفته 4'!B12</f>
        <v>0</v>
      </c>
      <c r="D17" s="35">
        <f>IF('هفته 4'!B21="","",'هفته 4'!B21)</f>
        <v>0</v>
      </c>
      <c r="E17" s="35">
        <f>IF('هفته 4'!C21="","",'هفته 4'!C21)</f>
        <v>0</v>
      </c>
      <c r="F17" s="36" t="str">
        <f t="shared" si="0"/>
        <v/>
      </c>
      <c r="G17" s="35">
        <f>IF('هفته 4'!E21="","",'هفته 4'!E21)</f>
        <v>0</v>
      </c>
      <c r="H17" s="35">
        <f>IF('هفته 4'!F21="","",'هفته 4'!F21)</f>
        <v>0</v>
      </c>
      <c r="I17" s="33">
        <v>3</v>
      </c>
      <c r="J17" s="37" t="str">
        <f t="shared" si="1"/>
        <v/>
      </c>
      <c r="K17" s="33" t="str">
        <f t="shared" si="2"/>
        <v/>
      </c>
    </row>
    <row r="18" spans="1:11" x14ac:dyDescent="0.4">
      <c r="A18" s="33">
        <v>5</v>
      </c>
      <c r="B18" s="34" t="s">
        <v>37</v>
      </c>
      <c r="C18" s="33">
        <f>'هفته 5'!B12</f>
        <v>0</v>
      </c>
      <c r="D18" s="35">
        <f>IF('هفته 5'!B21="","",'هفته 5'!B21)</f>
        <v>0</v>
      </c>
      <c r="E18" s="35">
        <f>IF('هفته 5'!C21="","",'هفته 5'!C21)</f>
        <v>0</v>
      </c>
      <c r="F18" s="36" t="str">
        <f t="shared" si="0"/>
        <v/>
      </c>
      <c r="G18" s="35">
        <f>IF('هفته 5'!E21="","",'هفته 5'!E21)</f>
        <v>0</v>
      </c>
      <c r="H18" s="35">
        <f>IF('هفته 5'!F21="","",'هفته 5'!F21)</f>
        <v>0</v>
      </c>
      <c r="I18" s="33">
        <v>3</v>
      </c>
      <c r="J18" s="37" t="str">
        <f t="shared" si="1"/>
        <v/>
      </c>
      <c r="K18" s="33" t="str">
        <f t="shared" si="2"/>
        <v/>
      </c>
    </row>
    <row r="19" spans="1:11" x14ac:dyDescent="0.4">
      <c r="A19" s="33">
        <v>6</v>
      </c>
      <c r="B19" s="34" t="s">
        <v>38</v>
      </c>
      <c r="C19" s="33">
        <f>'هفته 6'!B12</f>
        <v>0</v>
      </c>
      <c r="D19" s="35">
        <f>IF('هفته 6'!B21="","",'هفته 6'!B21)</f>
        <v>0</v>
      </c>
      <c r="E19" s="35">
        <f>IF('هفته 6'!C21="","",'هفته 6'!C21)</f>
        <v>0</v>
      </c>
      <c r="F19" s="36" t="str">
        <f t="shared" si="0"/>
        <v/>
      </c>
      <c r="G19" s="35">
        <f>IF('هفته 6'!E21="","",'هفته 6'!E21)</f>
        <v>0</v>
      </c>
      <c r="H19" s="35">
        <f>IF('هفته 6'!F21="","",'هفته 6'!F21)</f>
        <v>0</v>
      </c>
      <c r="I19" s="33">
        <v>3</v>
      </c>
      <c r="J19" s="37" t="str">
        <f t="shared" si="1"/>
        <v/>
      </c>
      <c r="K19" s="33" t="str">
        <f t="shared" si="2"/>
        <v/>
      </c>
    </row>
    <row r="20" spans="1:11" ht="31.5" x14ac:dyDescent="0.4">
      <c r="A20" s="33">
        <v>7</v>
      </c>
      <c r="B20" s="34" t="s">
        <v>39</v>
      </c>
      <c r="C20" s="33">
        <f>'هفته 7'!B12</f>
        <v>0</v>
      </c>
      <c r="D20" s="35">
        <f>IF('هفته 7'!B21="","",'هفته 7'!B21)</f>
        <v>0</v>
      </c>
      <c r="E20" s="35">
        <f>IF('هفته 7'!C21="","",'هفته 7'!C21)</f>
        <v>0</v>
      </c>
      <c r="F20" s="36" t="str">
        <f t="shared" si="0"/>
        <v/>
      </c>
      <c r="G20" s="35">
        <f>IF('هفته 7'!E21="","",'هفته 7'!E21)</f>
        <v>0</v>
      </c>
      <c r="H20" s="35">
        <f>IF('هفته 7'!F21="","",'هفته 7'!F21)</f>
        <v>0</v>
      </c>
      <c r="I20" s="33">
        <v>3</v>
      </c>
      <c r="J20" s="37" t="str">
        <f t="shared" si="1"/>
        <v/>
      </c>
      <c r="K20" s="33" t="str">
        <f t="shared" si="2"/>
        <v/>
      </c>
    </row>
    <row r="21" spans="1:11" x14ac:dyDescent="0.4">
      <c r="A21" s="33">
        <v>8</v>
      </c>
      <c r="B21" s="34" t="s">
        <v>40</v>
      </c>
      <c r="C21" s="33">
        <f>'هفته 8'!B12</f>
        <v>0</v>
      </c>
      <c r="D21" s="35">
        <f>IF('هفته 8'!B21="","",'هفته 8'!B21)</f>
        <v>0</v>
      </c>
      <c r="E21" s="35">
        <f>IF('هفته 8'!C21="","",'هفته 8'!C21)</f>
        <v>0</v>
      </c>
      <c r="F21" s="36" t="str">
        <f t="shared" si="0"/>
        <v/>
      </c>
      <c r="G21" s="35">
        <f>IF('هفته 8'!E21="","",'هفته 8'!E21)</f>
        <v>0</v>
      </c>
      <c r="H21" s="35">
        <f>IF('هفته 8'!F21="","",'هفته 8'!F21)</f>
        <v>0</v>
      </c>
      <c r="I21" s="33">
        <v>3</v>
      </c>
      <c r="J21" s="37" t="str">
        <f t="shared" si="1"/>
        <v/>
      </c>
      <c r="K21" s="33" t="str">
        <f t="shared" si="2"/>
        <v/>
      </c>
    </row>
    <row r="22" spans="1:11" x14ac:dyDescent="0.4">
      <c r="A22" s="33">
        <v>9</v>
      </c>
      <c r="B22" s="34" t="s">
        <v>41</v>
      </c>
      <c r="C22" s="33">
        <f>'هفته 9'!B12</f>
        <v>0</v>
      </c>
      <c r="D22" s="35">
        <f>IF('هفته 9'!B21="","",'هفته 9'!B21)</f>
        <v>0</v>
      </c>
      <c r="E22" s="35">
        <f>IF('هفته 9'!C21="","",'هفته 9'!C21)</f>
        <v>0</v>
      </c>
      <c r="F22" s="36" t="str">
        <f t="shared" si="0"/>
        <v/>
      </c>
      <c r="G22" s="35">
        <f>IF('هفته 9'!E21="","",'هفته 9'!E21)</f>
        <v>0</v>
      </c>
      <c r="H22" s="35">
        <f>IF('هفته 9'!F21="","",'هفته 9'!F21)</f>
        <v>0</v>
      </c>
      <c r="I22" s="33">
        <v>3</v>
      </c>
      <c r="J22" s="37" t="str">
        <f t="shared" si="1"/>
        <v/>
      </c>
      <c r="K22" s="33" t="str">
        <f t="shared" si="2"/>
        <v/>
      </c>
    </row>
    <row r="23" spans="1:11" x14ac:dyDescent="0.4">
      <c r="A23" s="33">
        <v>10</v>
      </c>
      <c r="B23" s="34" t="s">
        <v>42</v>
      </c>
      <c r="C23" s="33">
        <f>'هفته 10'!B12</f>
        <v>0</v>
      </c>
      <c r="D23" s="35">
        <f>IF('هفته 10'!B21="","",'هفته 10'!B21)</f>
        <v>0</v>
      </c>
      <c r="E23" s="35">
        <f>IF('هفته 10'!C21="","",'هفته 10'!C21)</f>
        <v>0</v>
      </c>
      <c r="F23" s="36" t="str">
        <f t="shared" si="0"/>
        <v/>
      </c>
      <c r="G23" s="35">
        <f>IF('هفته 10'!E21="","",'هفته 10'!E21)</f>
        <v>0</v>
      </c>
      <c r="H23" s="35">
        <f>IF('هفته 10'!F21="","",'هفته 10'!F21)</f>
        <v>0</v>
      </c>
      <c r="I23" s="33">
        <v>3</v>
      </c>
      <c r="J23" s="37" t="str">
        <f t="shared" si="1"/>
        <v/>
      </c>
      <c r="K23" s="33" t="str">
        <f t="shared" si="2"/>
        <v/>
      </c>
    </row>
    <row r="24" spans="1:11" x14ac:dyDescent="0.4">
      <c r="A24" s="33">
        <v>11</v>
      </c>
      <c r="B24" s="34" t="s">
        <v>43</v>
      </c>
      <c r="C24" s="33">
        <f>'هفته 11'!B12</f>
        <v>0</v>
      </c>
      <c r="D24" s="35">
        <f>IF('هفته 11'!B21="","",'هفته 11'!B21)</f>
        <v>0</v>
      </c>
      <c r="E24" s="35">
        <f>IF('هفته 11'!C21="","",'هفته 11'!C21)</f>
        <v>0</v>
      </c>
      <c r="F24" s="36" t="str">
        <f t="shared" si="0"/>
        <v/>
      </c>
      <c r="G24" s="35">
        <f>IF('هفته 11'!E21="","",'هفته 11'!E21)</f>
        <v>0</v>
      </c>
      <c r="H24" s="35">
        <f>IF('هفته 11'!F21="","",'هفته 11'!F21)</f>
        <v>0</v>
      </c>
      <c r="I24" s="33">
        <v>3</v>
      </c>
      <c r="J24" s="37" t="str">
        <f t="shared" si="1"/>
        <v/>
      </c>
      <c r="K24" s="33" t="str">
        <f t="shared" si="2"/>
        <v/>
      </c>
    </row>
    <row r="25" spans="1:11" x14ac:dyDescent="0.4">
      <c r="A25" s="33">
        <v>12</v>
      </c>
      <c r="B25" s="34" t="s">
        <v>44</v>
      </c>
      <c r="C25" s="33">
        <f>'هفته 12'!B12</f>
        <v>0</v>
      </c>
      <c r="D25" s="35">
        <f>IF('هفته 12'!B21="","",'هفته 12'!B21)</f>
        <v>0</v>
      </c>
      <c r="E25" s="35">
        <f>IF('هفته 12'!C21="","",'هفته 12'!C21)</f>
        <v>0</v>
      </c>
      <c r="F25" s="36" t="str">
        <f t="shared" si="0"/>
        <v/>
      </c>
      <c r="G25" s="35">
        <f>IF('هفته 12'!E21="","",'هفته 12'!E21)</f>
        <v>0</v>
      </c>
      <c r="H25" s="35">
        <f>IF('هفته 12'!F21="","",'هفته 12'!F21)</f>
        <v>0</v>
      </c>
      <c r="I25" s="33">
        <v>3</v>
      </c>
      <c r="J25" s="37" t="str">
        <f t="shared" si="1"/>
        <v/>
      </c>
      <c r="K25" s="33" t="str">
        <f t="shared" si="2"/>
        <v/>
      </c>
    </row>
    <row r="26" spans="1:11" x14ac:dyDescent="0.4">
      <c r="A26" s="38" t="s">
        <v>45</v>
      </c>
      <c r="B26" s="39"/>
      <c r="C26" s="40" t="str">
        <f>COUNTIF(C14:C25,"انجام‌شده")&amp;" از ۱۲"</f>
        <v>1 از ۱۲</v>
      </c>
      <c r="D26" s="41">
        <f>SUM(D14:D25)</f>
        <v>0</v>
      </c>
      <c r="E26" s="41">
        <f>SUM(E14:E25)</f>
        <v>0</v>
      </c>
      <c r="F26" s="42" t="str">
        <f>IF(D26=0,"",ROUND(E26/D26*100,1))</f>
        <v/>
      </c>
      <c r="G26" s="41">
        <f>SUM(G14:G25)</f>
        <v>0</v>
      </c>
      <c r="H26" s="41">
        <f>SUM(H14:H25)</f>
        <v>0</v>
      </c>
      <c r="I26" s="41">
        <f>SUM(I14:I25)</f>
        <v>36</v>
      </c>
      <c r="J26" s="43">
        <f>IF(COUNT(J14:J25)=0,"",ROUND(AVERAGE(J14:J25),0))</f>
        <v>100</v>
      </c>
      <c r="K26" s="44"/>
    </row>
    <row r="28" spans="1:11" x14ac:dyDescent="0.4">
      <c r="A28" s="29" t="s">
        <v>46</v>
      </c>
      <c r="B28" s="26"/>
      <c r="C28" s="26"/>
      <c r="D28" s="26"/>
    </row>
    <row r="29" spans="1:11" x14ac:dyDescent="0.4">
      <c r="A29" s="45" t="s">
        <v>47</v>
      </c>
      <c r="B29" s="46"/>
      <c r="C29" s="47" t="str">
        <f>IF(COUNT(J14:J25)=0,"—",ROUND(AVERAGE(J14:J25),0)&amp;"%")</f>
        <v>100%</v>
      </c>
      <c r="D29" s="48"/>
    </row>
    <row r="30" spans="1:11" x14ac:dyDescent="0.4">
      <c r="A30" s="45" t="s">
        <v>48</v>
      </c>
      <c r="B30" s="46"/>
      <c r="C30" s="47" t="str">
        <f>COUNTIF(C14:C25,"انجام‌شده")&amp;" از ۱۲"</f>
        <v>1 از ۱۲</v>
      </c>
      <c r="D30" s="48"/>
    </row>
    <row r="31" spans="1:11" x14ac:dyDescent="0.4">
      <c r="A31" s="45" t="s">
        <v>49</v>
      </c>
      <c r="B31" s="46"/>
      <c r="C31" s="47" t="str">
        <f>IF(D26=0,"—",TEXT(D26,"#,##0"))</f>
        <v>—</v>
      </c>
      <c r="D31" s="48"/>
    </row>
    <row r="32" spans="1:11" x14ac:dyDescent="0.4">
      <c r="A32" s="45" t="s">
        <v>50</v>
      </c>
      <c r="B32" s="46"/>
      <c r="C32" s="47" t="str">
        <f>IF(E26=0,"—",TEXT(E26,"#,##0"))</f>
        <v>—</v>
      </c>
      <c r="D32" s="48"/>
    </row>
    <row r="33" spans="1:5" x14ac:dyDescent="0.4">
      <c r="A33" s="45" t="s">
        <v>51</v>
      </c>
      <c r="B33" s="46"/>
      <c r="C33" s="47" t="str">
        <f>IF(F26="","—",F26)</f>
        <v>—</v>
      </c>
      <c r="D33" s="48"/>
    </row>
    <row r="34" spans="1:5" x14ac:dyDescent="0.4">
      <c r="A34" s="45" t="s">
        <v>52</v>
      </c>
      <c r="B34" s="46"/>
      <c r="C34" s="47" t="str">
        <f>IF(H26=0,"—",TEXT(H26,"#,##0"))</f>
        <v>—</v>
      </c>
      <c r="D34" s="48"/>
    </row>
    <row r="36" spans="1:5" x14ac:dyDescent="0.4">
      <c r="A36" s="29" t="s">
        <v>53</v>
      </c>
      <c r="B36" s="26"/>
      <c r="C36" s="26"/>
      <c r="D36" s="26"/>
      <c r="E36" s="26"/>
    </row>
    <row r="37" spans="1:5" x14ac:dyDescent="0.4">
      <c r="A37" s="32" t="s">
        <v>54</v>
      </c>
      <c r="B37" s="32" t="s">
        <v>55</v>
      </c>
      <c r="C37" s="32" t="s">
        <v>56</v>
      </c>
      <c r="D37" s="32" t="s">
        <v>57</v>
      </c>
      <c r="E37" s="32" t="s">
        <v>7</v>
      </c>
    </row>
    <row r="38" spans="1:5" ht="31.5" x14ac:dyDescent="0.4">
      <c r="A38" s="34" t="s">
        <v>58</v>
      </c>
      <c r="B38" s="49"/>
      <c r="C38" s="33" t="s">
        <v>59</v>
      </c>
      <c r="D38" s="50"/>
      <c r="E38" s="50"/>
    </row>
    <row r="39" spans="1:5" ht="31.5" x14ac:dyDescent="0.4">
      <c r="A39" s="34" t="s">
        <v>60</v>
      </c>
      <c r="B39" s="49"/>
      <c r="C39" s="33" t="s">
        <v>61</v>
      </c>
      <c r="D39" s="50"/>
      <c r="E39" s="50"/>
    </row>
    <row r="40" spans="1:5" ht="31.5" x14ac:dyDescent="0.4">
      <c r="A40" s="34" t="s">
        <v>62</v>
      </c>
      <c r="B40" s="49"/>
      <c r="C40" s="33" t="s">
        <v>63</v>
      </c>
      <c r="D40" s="50"/>
      <c r="E40" s="50"/>
    </row>
    <row r="41" spans="1:5" ht="31.5" x14ac:dyDescent="0.4">
      <c r="A41" s="34" t="s">
        <v>64</v>
      </c>
      <c r="B41" s="49"/>
      <c r="C41" s="33" t="s">
        <v>65</v>
      </c>
      <c r="D41" s="50"/>
      <c r="E41" s="50"/>
    </row>
    <row r="42" spans="1:5" ht="31.5" x14ac:dyDescent="0.4">
      <c r="A42" s="34" t="s">
        <v>66</v>
      </c>
      <c r="B42" s="49"/>
      <c r="C42" s="33" t="s">
        <v>67</v>
      </c>
      <c r="D42" s="50"/>
      <c r="E42" s="50"/>
    </row>
    <row r="43" spans="1:5" ht="31.5" x14ac:dyDescent="0.4">
      <c r="A43" s="34" t="s">
        <v>68</v>
      </c>
      <c r="B43" s="49"/>
      <c r="C43" s="33" t="s">
        <v>69</v>
      </c>
      <c r="D43" s="50"/>
      <c r="E43" s="50"/>
    </row>
    <row r="44" spans="1:5" ht="31.5" x14ac:dyDescent="0.4">
      <c r="A44" s="34" t="s">
        <v>70</v>
      </c>
      <c r="B44" s="49"/>
      <c r="C44" s="33" t="s">
        <v>71</v>
      </c>
      <c r="D44" s="50"/>
      <c r="E44" s="50"/>
    </row>
    <row r="45" spans="1:5" ht="31.5" x14ac:dyDescent="0.4">
      <c r="A45" s="34" t="s">
        <v>72</v>
      </c>
      <c r="B45" s="49"/>
      <c r="C45" s="33" t="s">
        <v>71</v>
      </c>
      <c r="D45" s="50"/>
      <c r="E45" s="50"/>
    </row>
    <row r="46" spans="1:5" ht="31.5" x14ac:dyDescent="0.4">
      <c r="A46" s="34" t="s">
        <v>73</v>
      </c>
      <c r="B46" s="49"/>
      <c r="C46" s="33" t="s">
        <v>63</v>
      </c>
      <c r="D46" s="50"/>
      <c r="E46" s="50"/>
    </row>
    <row r="47" spans="1:5" ht="31.5" x14ac:dyDescent="0.4">
      <c r="A47" s="34" t="s">
        <v>74</v>
      </c>
      <c r="B47" s="49"/>
      <c r="C47" s="33" t="s">
        <v>75</v>
      </c>
      <c r="D47" s="50"/>
      <c r="E47" s="50"/>
    </row>
    <row r="49" spans="1:8" x14ac:dyDescent="0.4">
      <c r="A49" s="51" t="s">
        <v>76</v>
      </c>
      <c r="B49" s="26"/>
      <c r="C49" s="26"/>
      <c r="D49" s="26"/>
      <c r="E49" s="26"/>
    </row>
    <row r="50" spans="1:8" x14ac:dyDescent="0.4">
      <c r="A50" s="52" t="s">
        <v>77</v>
      </c>
      <c r="B50" s="26"/>
      <c r="C50" s="26"/>
      <c r="D50" s="26"/>
      <c r="E50" s="26"/>
      <c r="F50" s="26"/>
      <c r="G50" s="26"/>
      <c r="H50" s="26"/>
    </row>
    <row r="51" spans="1:8" x14ac:dyDescent="0.4">
      <c r="A51" s="52" t="s">
        <v>78</v>
      </c>
      <c r="B51" s="26"/>
      <c r="C51" s="26"/>
      <c r="D51" s="26"/>
      <c r="E51" s="26"/>
      <c r="F51" s="26"/>
      <c r="G51" s="26"/>
      <c r="H51" s="26"/>
    </row>
    <row r="52" spans="1:8" x14ac:dyDescent="0.4">
      <c r="A52" s="52" t="s">
        <v>79</v>
      </c>
      <c r="B52" s="26"/>
      <c r="C52" s="26"/>
      <c r="D52" s="26"/>
      <c r="E52" s="26"/>
      <c r="F52" s="26"/>
      <c r="G52" s="26"/>
      <c r="H52" s="26"/>
    </row>
    <row r="53" spans="1:8" x14ac:dyDescent="0.4">
      <c r="A53" s="52" t="s">
        <v>80</v>
      </c>
      <c r="B53" s="26"/>
      <c r="C53" s="26"/>
      <c r="D53" s="26"/>
      <c r="E53" s="26"/>
      <c r="F53" s="26"/>
      <c r="G53" s="26"/>
      <c r="H53" s="26"/>
    </row>
    <row r="54" spans="1:8" x14ac:dyDescent="0.4">
      <c r="A54" s="52" t="s">
        <v>81</v>
      </c>
      <c r="B54" s="26"/>
      <c r="C54" s="26"/>
      <c r="D54" s="26"/>
      <c r="E54" s="26"/>
      <c r="F54" s="26"/>
      <c r="G54" s="26"/>
      <c r="H54" s="26"/>
    </row>
    <row r="55" spans="1:8" x14ac:dyDescent="0.4">
      <c r="A55" s="52" t="s">
        <v>82</v>
      </c>
      <c r="B55" s="26"/>
      <c r="C55" s="26"/>
      <c r="D55" s="26"/>
      <c r="E55" s="26"/>
      <c r="F55" s="26"/>
      <c r="G55" s="26"/>
      <c r="H55" s="26"/>
    </row>
  </sheetData>
  <mergeCells count="26">
    <mergeCell ref="A55:H55"/>
    <mergeCell ref="A33:B33"/>
    <mergeCell ref="A2:K2"/>
    <mergeCell ref="A32:B32"/>
    <mergeCell ref="A4:E4"/>
    <mergeCell ref="C32:D32"/>
    <mergeCell ref="A29:B29"/>
    <mergeCell ref="A53:H53"/>
    <mergeCell ref="A52:H52"/>
    <mergeCell ref="A31:B31"/>
    <mergeCell ref="A34:B34"/>
    <mergeCell ref="A28:D28"/>
    <mergeCell ref="A1:K1"/>
    <mergeCell ref="C29:D29"/>
    <mergeCell ref="A54:H54"/>
    <mergeCell ref="C31:D31"/>
    <mergeCell ref="A50:H50"/>
    <mergeCell ref="A26:B26"/>
    <mergeCell ref="A12:K12"/>
    <mergeCell ref="C34:D34"/>
    <mergeCell ref="A30:B30"/>
    <mergeCell ref="C30:D30"/>
    <mergeCell ref="C33:D33"/>
    <mergeCell ref="A51:H51"/>
    <mergeCell ref="A49:E49"/>
    <mergeCell ref="A36:E36"/>
  </mergeCells>
  <conditionalFormatting sqref="C14:C25">
    <cfRule type="cellIs" dxfId="5" priority="4" operator="equal">
      <formula>"انجام‌شده"</formula>
    </cfRule>
    <cfRule type="cellIs" dxfId="4" priority="5" operator="equal">
      <formula>"ناقص"</formula>
    </cfRule>
    <cfRule type="cellIs" dxfId="3" priority="6" operator="equal">
      <formula>"انجام‌نشده"</formula>
    </cfRule>
  </conditionalFormatting>
  <conditionalFormatting sqref="J14:J25">
    <cfRule type="cellIs" dxfId="2" priority="1" operator="equal">
      <formula>100</formula>
    </cfRule>
    <cfRule type="cellIs" dxfId="1" priority="2" operator="equal">
      <formula>50</formula>
    </cfRule>
    <cfRule type="cellIs" dxfId="0" priority="3" operator="equal">
      <formula>0</formula>
    </cfRule>
  </conditionalFormatting>
  <dataValidations count="2">
    <dataValidation type="list" allowBlank="1" sqref="D6:D10" xr:uid="{00000000-0002-0000-0000-000000000000}">
      <formula1>"تحقق‌یافته,در حال پیشرفت,تحقق‌نیافته"</formula1>
    </dataValidation>
    <dataValidation type="list" allowBlank="1" sqref="B38:B47" xr:uid="{00000000-0002-0000-0000-000001000000}">
      <formula1>"آماده,در حال تولید,انجام‌نشده"</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showGridLines="0" rightToLeft="1" workbookViewId="0"/>
  </sheetViews>
  <sheetFormatPr defaultRowHeight="15" x14ac:dyDescent="0.25"/>
  <cols>
    <col min="1" max="1" width="100" customWidth="1"/>
  </cols>
  <sheetData>
    <row r="1" spans="1:1" ht="18" x14ac:dyDescent="0.25">
      <c r="A1" s="6" t="s">
        <v>83</v>
      </c>
    </row>
    <row r="2" spans="1:1" x14ac:dyDescent="0.25">
      <c r="A2" s="7"/>
    </row>
    <row r="3" spans="1:1" x14ac:dyDescent="0.25">
      <c r="A3" s="8" t="s">
        <v>84</v>
      </c>
    </row>
    <row r="4" spans="1:1" ht="25.5" x14ac:dyDescent="0.25">
      <c r="A4" s="9" t="s">
        <v>85</v>
      </c>
    </row>
    <row r="5" spans="1:1" x14ac:dyDescent="0.25">
      <c r="A5" s="9" t="s">
        <v>86</v>
      </c>
    </row>
    <row r="6" spans="1:1" x14ac:dyDescent="0.25">
      <c r="A6" s="9" t="s">
        <v>87</v>
      </c>
    </row>
    <row r="7" spans="1:1" x14ac:dyDescent="0.25">
      <c r="A7" s="7"/>
    </row>
    <row r="8" spans="1:1" x14ac:dyDescent="0.25">
      <c r="A8" s="8" t="s">
        <v>88</v>
      </c>
    </row>
    <row r="9" spans="1:1" x14ac:dyDescent="0.25">
      <c r="A9" s="7" t="s">
        <v>89</v>
      </c>
    </row>
    <row r="10" spans="1:1" x14ac:dyDescent="0.25">
      <c r="A10" s="7" t="s">
        <v>90</v>
      </c>
    </row>
    <row r="11" spans="1:1" x14ac:dyDescent="0.25">
      <c r="A11" s="7" t="s">
        <v>91</v>
      </c>
    </row>
    <row r="12" spans="1:1" x14ac:dyDescent="0.25">
      <c r="A12" s="7" t="s">
        <v>92</v>
      </c>
    </row>
    <row r="13" spans="1:1" x14ac:dyDescent="0.25">
      <c r="A13" s="7" t="s">
        <v>93</v>
      </c>
    </row>
    <row r="14" spans="1:1" x14ac:dyDescent="0.25">
      <c r="A14" s="7" t="s">
        <v>94</v>
      </c>
    </row>
    <row r="15" spans="1:1" x14ac:dyDescent="0.25">
      <c r="A15" s="7"/>
    </row>
    <row r="16" spans="1:1" x14ac:dyDescent="0.25">
      <c r="A16" s="8" t="s">
        <v>95</v>
      </c>
    </row>
    <row r="17" spans="1:1" x14ac:dyDescent="0.25">
      <c r="A17" s="9" t="s">
        <v>96</v>
      </c>
    </row>
    <row r="18" spans="1:1" x14ac:dyDescent="0.25">
      <c r="A18" s="9" t="s">
        <v>97</v>
      </c>
    </row>
    <row r="19" spans="1:1" x14ac:dyDescent="0.25">
      <c r="A19" s="9" t="s">
        <v>98</v>
      </c>
    </row>
    <row r="20" spans="1:1" x14ac:dyDescent="0.25">
      <c r="A20" s="9" t="s">
        <v>99</v>
      </c>
    </row>
    <row r="21" spans="1:1" x14ac:dyDescent="0.25">
      <c r="A21" s="9" t="s">
        <v>100</v>
      </c>
    </row>
    <row r="22" spans="1:1" x14ac:dyDescent="0.25">
      <c r="A22" s="7"/>
    </row>
    <row r="23" spans="1:1" x14ac:dyDescent="0.25">
      <c r="A23" s="8" t="s">
        <v>101</v>
      </c>
    </row>
    <row r="24" spans="1:1" x14ac:dyDescent="0.25">
      <c r="A24" s="9" t="s">
        <v>102</v>
      </c>
    </row>
    <row r="25" spans="1:1" x14ac:dyDescent="0.25">
      <c r="A25" s="9" t="s">
        <v>103</v>
      </c>
    </row>
    <row r="26" spans="1:1" x14ac:dyDescent="0.25">
      <c r="A26" s="9" t="s">
        <v>104</v>
      </c>
    </row>
    <row r="27" spans="1:1" x14ac:dyDescent="0.25">
      <c r="A27" s="9" t="s">
        <v>105</v>
      </c>
    </row>
    <row r="28" spans="1:1" x14ac:dyDescent="0.25">
      <c r="A28" s="9" t="s">
        <v>106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1"/>
  <sheetViews>
    <sheetView showGridLines="0" rightToLeft="1" workbookViewId="0">
      <pane ySplit="4" topLeftCell="A12" activePane="bottomLeft" state="frozen"/>
      <selection pane="bottomLeft" activeCell="G16" sqref="G16"/>
    </sheetView>
  </sheetViews>
  <sheetFormatPr defaultRowHeight="15" x14ac:dyDescent="0.25"/>
  <cols>
    <col min="1" max="1" width="14.7109375" customWidth="1"/>
    <col min="2" max="2" width="38" customWidth="1"/>
    <col min="3" max="3" width="18" customWidth="1"/>
    <col min="4" max="4" width="22" customWidth="1"/>
    <col min="5" max="5" width="55" customWidth="1"/>
    <col min="6" max="6" width="45" customWidth="1"/>
    <col min="7" max="7" width="22" customWidth="1"/>
    <col min="8" max="9" width="14" customWidth="1"/>
    <col min="10" max="11" width="12" customWidth="1"/>
    <col min="12" max="12" width="14" customWidth="1"/>
    <col min="13" max="13" width="18" customWidth="1"/>
  </cols>
  <sheetData>
    <row r="1" spans="1:9" ht="21.95" customHeight="1" x14ac:dyDescent="0.25">
      <c r="A1" s="22" t="s">
        <v>107</v>
      </c>
      <c r="B1" s="19"/>
      <c r="C1" s="19"/>
      <c r="D1" s="19"/>
      <c r="E1" s="19"/>
      <c r="F1" s="19"/>
      <c r="G1" s="19"/>
    </row>
    <row r="2" spans="1:9" x14ac:dyDescent="0.25">
      <c r="A2" s="21" t="s">
        <v>108</v>
      </c>
      <c r="B2" s="19"/>
      <c r="C2" s="19"/>
      <c r="D2" s="19"/>
      <c r="E2" s="19"/>
      <c r="F2" s="19"/>
      <c r="G2" s="19"/>
    </row>
    <row r="4" spans="1:9" ht="30" customHeight="1" x14ac:dyDescent="0.25">
      <c r="A4" s="1" t="s">
        <v>109</v>
      </c>
      <c r="B4" s="1" t="s">
        <v>110</v>
      </c>
      <c r="C4" s="1" t="s">
        <v>111</v>
      </c>
      <c r="D4" s="1" t="s">
        <v>112</v>
      </c>
      <c r="E4" s="1" t="s">
        <v>113</v>
      </c>
      <c r="F4" s="1" t="s">
        <v>114</v>
      </c>
      <c r="G4" s="1" t="s">
        <v>115</v>
      </c>
    </row>
    <row r="5" spans="1:9" ht="120" customHeight="1" x14ac:dyDescent="0.25">
      <c r="A5" s="3">
        <v>1</v>
      </c>
      <c r="B5" s="2" t="s">
        <v>116</v>
      </c>
      <c r="C5" s="3" t="s">
        <v>117</v>
      </c>
      <c r="D5" s="3" t="s">
        <v>118</v>
      </c>
      <c r="E5" s="10" t="s">
        <v>119</v>
      </c>
      <c r="F5" s="10" t="s">
        <v>120</v>
      </c>
      <c r="G5" s="3" t="s">
        <v>121</v>
      </c>
    </row>
    <row r="6" spans="1:9" ht="120" customHeight="1" x14ac:dyDescent="0.25">
      <c r="A6" s="3">
        <v>2</v>
      </c>
      <c r="B6" s="2" t="s">
        <v>122</v>
      </c>
      <c r="C6" s="3" t="s">
        <v>123</v>
      </c>
      <c r="D6" s="3" t="s">
        <v>124</v>
      </c>
      <c r="E6" s="10" t="s">
        <v>125</v>
      </c>
      <c r="F6" s="10" t="s">
        <v>63</v>
      </c>
      <c r="G6" s="3" t="s">
        <v>126</v>
      </c>
    </row>
    <row r="7" spans="1:9" ht="120" customHeight="1" x14ac:dyDescent="0.25">
      <c r="A7" s="3">
        <v>3</v>
      </c>
      <c r="B7" s="2" t="s">
        <v>127</v>
      </c>
      <c r="C7" s="3" t="s">
        <v>128</v>
      </c>
      <c r="D7" s="3" t="s">
        <v>129</v>
      </c>
      <c r="E7" s="10" t="s">
        <v>130</v>
      </c>
      <c r="F7" s="10" t="s">
        <v>131</v>
      </c>
      <c r="G7" s="3" t="s">
        <v>132</v>
      </c>
    </row>
    <row r="9" spans="1:9" x14ac:dyDescent="0.25">
      <c r="A9" s="23" t="s">
        <v>133</v>
      </c>
      <c r="B9" s="19"/>
      <c r="C9" s="19"/>
      <c r="D9" s="19"/>
      <c r="E9" s="19"/>
      <c r="F9" s="19"/>
      <c r="G9" s="19"/>
    </row>
    <row r="11" spans="1:9" x14ac:dyDescent="0.25">
      <c r="A11" s="20" t="s">
        <v>134</v>
      </c>
      <c r="B11" s="19"/>
      <c r="C11" s="19"/>
      <c r="D11" s="19"/>
      <c r="E11" s="19"/>
      <c r="F11" s="19"/>
      <c r="G11" s="19"/>
    </row>
    <row r="12" spans="1:9" ht="25.5" x14ac:dyDescent="0.25">
      <c r="A12" s="9" t="s">
        <v>135</v>
      </c>
      <c r="B12" s="11" t="s">
        <v>308</v>
      </c>
      <c r="C12" s="12" t="s">
        <v>136</v>
      </c>
    </row>
    <row r="14" spans="1:9" ht="42.75" x14ac:dyDescent="0.25">
      <c r="A14" s="13" t="s">
        <v>137</v>
      </c>
      <c r="B14" s="13" t="s">
        <v>138</v>
      </c>
      <c r="C14" s="13" t="s">
        <v>139</v>
      </c>
      <c r="D14" s="13" t="s">
        <v>27</v>
      </c>
      <c r="E14" s="13" t="s">
        <v>140</v>
      </c>
      <c r="F14" s="13" t="s">
        <v>29</v>
      </c>
      <c r="G14" s="13" t="s">
        <v>141</v>
      </c>
      <c r="H14" s="13" t="s">
        <v>142</v>
      </c>
      <c r="I14" s="13" t="s">
        <v>143</v>
      </c>
    </row>
    <row r="15" spans="1:9" x14ac:dyDescent="0.25">
      <c r="A15" s="14" t="s">
        <v>144</v>
      </c>
      <c r="B15" s="15"/>
      <c r="C15" s="15"/>
      <c r="D15" s="16" t="str">
        <f t="shared" ref="D15:D21" si="0">IF(B15=0,"",IF(B15="","",ROUND(C15/B15*100,1)))</f>
        <v/>
      </c>
      <c r="E15" s="15"/>
      <c r="F15" s="15"/>
      <c r="G15" s="15"/>
      <c r="H15" s="15"/>
      <c r="I15" s="15"/>
    </row>
    <row r="16" spans="1:9" x14ac:dyDescent="0.25">
      <c r="A16" s="14" t="s">
        <v>145</v>
      </c>
      <c r="B16" s="15"/>
      <c r="C16" s="15"/>
      <c r="D16" s="16" t="str">
        <f t="shared" si="0"/>
        <v/>
      </c>
      <c r="E16" s="15"/>
      <c r="F16" s="15"/>
      <c r="G16" s="15"/>
      <c r="H16" s="15"/>
      <c r="I16" s="15"/>
    </row>
    <row r="17" spans="1:9" x14ac:dyDescent="0.25">
      <c r="A17" s="14" t="s">
        <v>146</v>
      </c>
      <c r="B17" s="15"/>
      <c r="C17" s="15"/>
      <c r="D17" s="16" t="str">
        <f t="shared" si="0"/>
        <v/>
      </c>
      <c r="E17" s="15"/>
      <c r="F17" s="15"/>
      <c r="G17" s="15"/>
      <c r="H17" s="15"/>
      <c r="I17" s="15"/>
    </row>
    <row r="18" spans="1:9" x14ac:dyDescent="0.25">
      <c r="A18" s="14" t="s">
        <v>147</v>
      </c>
      <c r="B18" s="15"/>
      <c r="C18" s="15"/>
      <c r="D18" s="16" t="str">
        <f t="shared" si="0"/>
        <v/>
      </c>
      <c r="E18" s="15"/>
      <c r="F18" s="15"/>
      <c r="G18" s="15"/>
      <c r="H18" s="15"/>
      <c r="I18" s="15"/>
    </row>
    <row r="19" spans="1:9" ht="25.5" x14ac:dyDescent="0.25">
      <c r="A19" s="14" t="s">
        <v>148</v>
      </c>
      <c r="B19" s="15"/>
      <c r="C19" s="15"/>
      <c r="D19" s="16" t="str">
        <f t="shared" si="0"/>
        <v/>
      </c>
      <c r="E19" s="15"/>
      <c r="F19" s="15"/>
      <c r="G19" s="15"/>
      <c r="H19" s="15"/>
      <c r="I19" s="15"/>
    </row>
    <row r="20" spans="1:9" x14ac:dyDescent="0.25">
      <c r="A20" s="14" t="s">
        <v>149</v>
      </c>
      <c r="B20" s="15"/>
      <c r="C20" s="15"/>
      <c r="D20" s="16" t="str">
        <f t="shared" si="0"/>
        <v/>
      </c>
      <c r="E20" s="15"/>
      <c r="F20" s="15"/>
      <c r="G20" s="15"/>
      <c r="H20" s="15"/>
      <c r="I20" s="15"/>
    </row>
    <row r="21" spans="1:9" ht="25.5" x14ac:dyDescent="0.25">
      <c r="A21" s="17" t="s">
        <v>150</v>
      </c>
      <c r="B21" s="4">
        <f>SUM(B15:B20)</f>
        <v>0</v>
      </c>
      <c r="C21" s="4">
        <f>SUM(C15:C20)</f>
        <v>0</v>
      </c>
      <c r="D21" s="18" t="str">
        <f t="shared" si="0"/>
        <v/>
      </c>
      <c r="E21" s="4">
        <f>SUM(E15:E20)</f>
        <v>0</v>
      </c>
      <c r="F21" s="4">
        <f>SUM(F15:F20)</f>
        <v>0</v>
      </c>
      <c r="G21" s="4">
        <f>SUM(G15:G20)</f>
        <v>0</v>
      </c>
      <c r="H21" s="5"/>
      <c r="I21" s="5"/>
    </row>
  </sheetData>
  <mergeCells count="4">
    <mergeCell ref="A11:G11"/>
    <mergeCell ref="A2:G2"/>
    <mergeCell ref="A1:G1"/>
    <mergeCell ref="A9:G9"/>
  </mergeCells>
  <dataValidations count="1">
    <dataValidation type="list" allowBlank="1" errorTitle="وضعیت نامعتبر" error="یکی از گزینه‌ها را انتخاب کنید" sqref="B12" xr:uid="{00000000-0002-0000-0200-000000000000}">
      <formula1>"انجام‌شده,ناقص,انجام‌نشده"</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1"/>
  <sheetViews>
    <sheetView showGridLines="0" rightToLeft="1" workbookViewId="0">
      <pane ySplit="4" topLeftCell="A5" activePane="bottomLeft" state="frozen"/>
      <selection pane="bottomLeft"/>
    </sheetView>
  </sheetViews>
  <sheetFormatPr defaultRowHeight="15" x14ac:dyDescent="0.25"/>
  <cols>
    <col min="1" max="1" width="8" customWidth="1"/>
    <col min="2" max="2" width="38" customWidth="1"/>
    <col min="3" max="3" width="18" customWidth="1"/>
    <col min="4" max="4" width="22" customWidth="1"/>
    <col min="5" max="5" width="55" customWidth="1"/>
    <col min="6" max="6" width="45" customWidth="1"/>
    <col min="7" max="7" width="22" customWidth="1"/>
    <col min="8" max="9" width="14" customWidth="1"/>
    <col min="10" max="11" width="12" customWidth="1"/>
    <col min="12" max="12" width="14" customWidth="1"/>
    <col min="13" max="13" width="18" customWidth="1"/>
  </cols>
  <sheetData>
    <row r="1" spans="1:9" ht="21.95" customHeight="1" x14ac:dyDescent="0.25">
      <c r="A1" s="22" t="s">
        <v>151</v>
      </c>
      <c r="B1" s="19"/>
      <c r="C1" s="19"/>
      <c r="D1" s="19"/>
      <c r="E1" s="19"/>
      <c r="F1" s="19"/>
      <c r="G1" s="19"/>
    </row>
    <row r="2" spans="1:9" x14ac:dyDescent="0.25">
      <c r="A2" s="21" t="s">
        <v>152</v>
      </c>
      <c r="B2" s="19"/>
      <c r="C2" s="19"/>
      <c r="D2" s="19"/>
      <c r="E2" s="19"/>
      <c r="F2" s="19"/>
      <c r="G2" s="19"/>
    </row>
    <row r="4" spans="1:9" ht="30" customHeight="1" x14ac:dyDescent="0.25">
      <c r="A4" s="1" t="s">
        <v>109</v>
      </c>
      <c r="B4" s="1" t="s">
        <v>110</v>
      </c>
      <c r="C4" s="1" t="s">
        <v>111</v>
      </c>
      <c r="D4" s="1" t="s">
        <v>112</v>
      </c>
      <c r="E4" s="1" t="s">
        <v>113</v>
      </c>
      <c r="F4" s="1" t="s">
        <v>114</v>
      </c>
      <c r="G4" s="1" t="s">
        <v>115</v>
      </c>
    </row>
    <row r="5" spans="1:9" ht="120" customHeight="1" x14ac:dyDescent="0.25">
      <c r="A5" s="3">
        <v>1</v>
      </c>
      <c r="B5" s="2" t="s">
        <v>153</v>
      </c>
      <c r="C5" s="3" t="s">
        <v>154</v>
      </c>
      <c r="D5" s="3" t="s">
        <v>155</v>
      </c>
      <c r="E5" s="10" t="s">
        <v>156</v>
      </c>
      <c r="F5" s="10" t="s">
        <v>157</v>
      </c>
      <c r="G5" s="3" t="s">
        <v>158</v>
      </c>
    </row>
    <row r="6" spans="1:9" ht="120" customHeight="1" x14ac:dyDescent="0.25">
      <c r="A6" s="3">
        <v>2</v>
      </c>
      <c r="B6" s="2" t="s">
        <v>159</v>
      </c>
      <c r="C6" s="3" t="s">
        <v>160</v>
      </c>
      <c r="D6" s="3" t="s">
        <v>118</v>
      </c>
      <c r="E6" s="10" t="s">
        <v>161</v>
      </c>
      <c r="F6" s="10" t="s">
        <v>162</v>
      </c>
      <c r="G6" s="3" t="s">
        <v>121</v>
      </c>
    </row>
    <row r="7" spans="1:9" ht="120" customHeight="1" x14ac:dyDescent="0.25">
      <c r="A7" s="3">
        <v>3</v>
      </c>
      <c r="B7" s="2" t="s">
        <v>163</v>
      </c>
      <c r="C7" s="3" t="s">
        <v>123</v>
      </c>
      <c r="D7" s="3" t="s">
        <v>144</v>
      </c>
      <c r="E7" s="10" t="s">
        <v>164</v>
      </c>
      <c r="F7" s="10" t="s">
        <v>63</v>
      </c>
      <c r="G7" s="3" t="s">
        <v>165</v>
      </c>
    </row>
    <row r="9" spans="1:9" x14ac:dyDescent="0.25">
      <c r="A9" s="23" t="s">
        <v>166</v>
      </c>
      <c r="B9" s="19"/>
      <c r="C9" s="19"/>
      <c r="D9" s="19"/>
      <c r="E9" s="19"/>
      <c r="F9" s="19"/>
      <c r="G9" s="19"/>
    </row>
    <row r="11" spans="1:9" x14ac:dyDescent="0.25">
      <c r="A11" s="20" t="s">
        <v>134</v>
      </c>
      <c r="B11" s="19"/>
      <c r="C11" s="19"/>
      <c r="D11" s="19"/>
      <c r="E11" s="19"/>
      <c r="F11" s="19"/>
      <c r="G11" s="19"/>
    </row>
    <row r="12" spans="1:9" ht="25.5" x14ac:dyDescent="0.25">
      <c r="A12" s="9" t="s">
        <v>135</v>
      </c>
      <c r="B12" s="11"/>
      <c r="C12" s="12" t="s">
        <v>136</v>
      </c>
    </row>
    <row r="14" spans="1:9" ht="42.75" x14ac:dyDescent="0.25">
      <c r="A14" s="13" t="s">
        <v>137</v>
      </c>
      <c r="B14" s="13" t="s">
        <v>138</v>
      </c>
      <c r="C14" s="13" t="s">
        <v>139</v>
      </c>
      <c r="D14" s="13" t="s">
        <v>27</v>
      </c>
      <c r="E14" s="13" t="s">
        <v>140</v>
      </c>
      <c r="F14" s="13" t="s">
        <v>29</v>
      </c>
      <c r="G14" s="13" t="s">
        <v>141</v>
      </c>
      <c r="H14" s="13" t="s">
        <v>142</v>
      </c>
      <c r="I14" s="13" t="s">
        <v>143</v>
      </c>
    </row>
    <row r="15" spans="1:9" ht="25.5" x14ac:dyDescent="0.25">
      <c r="A15" s="14" t="s">
        <v>144</v>
      </c>
      <c r="B15" s="15"/>
      <c r="C15" s="15"/>
      <c r="D15" s="16" t="str">
        <f t="shared" ref="D15:D21" si="0">IF(B15=0,"",IF(B15="","",ROUND(C15/B15*100,1)))</f>
        <v/>
      </c>
      <c r="E15" s="15"/>
      <c r="F15" s="15"/>
      <c r="G15" s="15"/>
      <c r="H15" s="15"/>
      <c r="I15" s="15"/>
    </row>
    <row r="16" spans="1:9" x14ac:dyDescent="0.25">
      <c r="A16" s="14" t="s">
        <v>145</v>
      </c>
      <c r="B16" s="15"/>
      <c r="C16" s="15"/>
      <c r="D16" s="16" t="str">
        <f t="shared" si="0"/>
        <v/>
      </c>
      <c r="E16" s="15"/>
      <c r="F16" s="15"/>
      <c r="G16" s="15"/>
      <c r="H16" s="15"/>
      <c r="I16" s="15"/>
    </row>
    <row r="17" spans="1:9" x14ac:dyDescent="0.25">
      <c r="A17" s="14" t="s">
        <v>146</v>
      </c>
      <c r="B17" s="15"/>
      <c r="C17" s="15"/>
      <c r="D17" s="16" t="str">
        <f t="shared" si="0"/>
        <v/>
      </c>
      <c r="E17" s="15"/>
      <c r="F17" s="15"/>
      <c r="G17" s="15"/>
      <c r="H17" s="15"/>
      <c r="I17" s="15"/>
    </row>
    <row r="18" spans="1:9" x14ac:dyDescent="0.25">
      <c r="A18" s="14" t="s">
        <v>147</v>
      </c>
      <c r="B18" s="15"/>
      <c r="C18" s="15"/>
      <c r="D18" s="16" t="str">
        <f t="shared" si="0"/>
        <v/>
      </c>
      <c r="E18" s="15"/>
      <c r="F18" s="15"/>
      <c r="G18" s="15"/>
      <c r="H18" s="15"/>
      <c r="I18" s="15"/>
    </row>
    <row r="19" spans="1:9" ht="25.5" x14ac:dyDescent="0.25">
      <c r="A19" s="14" t="s">
        <v>148</v>
      </c>
      <c r="B19" s="15"/>
      <c r="C19" s="15"/>
      <c r="D19" s="16" t="str">
        <f t="shared" si="0"/>
        <v/>
      </c>
      <c r="E19" s="15"/>
      <c r="F19" s="15"/>
      <c r="G19" s="15"/>
      <c r="H19" s="15"/>
      <c r="I19" s="15"/>
    </row>
    <row r="20" spans="1:9" x14ac:dyDescent="0.25">
      <c r="A20" s="14" t="s">
        <v>149</v>
      </c>
      <c r="B20" s="15"/>
      <c r="C20" s="15"/>
      <c r="D20" s="16" t="str">
        <f t="shared" si="0"/>
        <v/>
      </c>
      <c r="E20" s="15"/>
      <c r="F20" s="15"/>
      <c r="G20" s="15"/>
      <c r="H20" s="15"/>
      <c r="I20" s="15"/>
    </row>
    <row r="21" spans="1:9" ht="25.5" x14ac:dyDescent="0.25">
      <c r="A21" s="17" t="s">
        <v>150</v>
      </c>
      <c r="B21" s="4">
        <f>SUM(B15:B20)</f>
        <v>0</v>
      </c>
      <c r="C21" s="4">
        <f>SUM(C15:C20)</f>
        <v>0</v>
      </c>
      <c r="D21" s="18" t="str">
        <f t="shared" si="0"/>
        <v/>
      </c>
      <c r="E21" s="4">
        <f>SUM(E15:E20)</f>
        <v>0</v>
      </c>
      <c r="F21" s="4">
        <f>SUM(F15:F20)</f>
        <v>0</v>
      </c>
      <c r="G21" s="4">
        <f>SUM(G15:G20)</f>
        <v>0</v>
      </c>
      <c r="H21" s="5"/>
      <c r="I21" s="5"/>
    </row>
  </sheetData>
  <mergeCells count="4">
    <mergeCell ref="A11:G11"/>
    <mergeCell ref="A2:G2"/>
    <mergeCell ref="A1:G1"/>
    <mergeCell ref="A9:G9"/>
  </mergeCells>
  <dataValidations count="1">
    <dataValidation type="list" allowBlank="1" errorTitle="وضعیت نامعتبر" error="یکی از گزینه‌ها را انتخاب کنید" sqref="B12" xr:uid="{00000000-0002-0000-0300-000000000000}">
      <formula1>"انجام‌شده,ناقص,انجام‌نشده"</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1"/>
  <sheetViews>
    <sheetView showGridLines="0" rightToLeft="1" workbookViewId="0">
      <pane ySplit="4" topLeftCell="A5" activePane="bottomLeft" state="frozen"/>
      <selection pane="bottomLeft"/>
    </sheetView>
  </sheetViews>
  <sheetFormatPr defaultRowHeight="15" x14ac:dyDescent="0.25"/>
  <cols>
    <col min="1" max="1" width="8" customWidth="1"/>
    <col min="2" max="2" width="38" customWidth="1"/>
    <col min="3" max="3" width="18" customWidth="1"/>
    <col min="4" max="4" width="22" customWidth="1"/>
    <col min="5" max="5" width="55" customWidth="1"/>
    <col min="6" max="6" width="45" customWidth="1"/>
    <col min="7" max="7" width="22" customWidth="1"/>
    <col min="8" max="9" width="14" customWidth="1"/>
    <col min="10" max="11" width="12" customWidth="1"/>
    <col min="12" max="12" width="14" customWidth="1"/>
    <col min="13" max="13" width="18" customWidth="1"/>
  </cols>
  <sheetData>
    <row r="1" spans="1:9" ht="21.95" customHeight="1" x14ac:dyDescent="0.25">
      <c r="A1" s="22" t="s">
        <v>167</v>
      </c>
      <c r="B1" s="19"/>
      <c r="C1" s="19"/>
      <c r="D1" s="19"/>
      <c r="E1" s="19"/>
      <c r="F1" s="19"/>
      <c r="G1" s="19"/>
    </row>
    <row r="2" spans="1:9" x14ac:dyDescent="0.25">
      <c r="A2" s="21" t="s">
        <v>168</v>
      </c>
      <c r="B2" s="19"/>
      <c r="C2" s="19"/>
      <c r="D2" s="19"/>
      <c r="E2" s="19"/>
      <c r="F2" s="19"/>
      <c r="G2" s="19"/>
    </row>
    <row r="4" spans="1:9" ht="30" customHeight="1" x14ac:dyDescent="0.25">
      <c r="A4" s="1" t="s">
        <v>109</v>
      </c>
      <c r="B4" s="1" t="s">
        <v>110</v>
      </c>
      <c r="C4" s="1" t="s">
        <v>111</v>
      </c>
      <c r="D4" s="1" t="s">
        <v>112</v>
      </c>
      <c r="E4" s="1" t="s">
        <v>113</v>
      </c>
      <c r="F4" s="1" t="s">
        <v>114</v>
      </c>
      <c r="G4" s="1" t="s">
        <v>115</v>
      </c>
    </row>
    <row r="5" spans="1:9" ht="120" customHeight="1" x14ac:dyDescent="0.25">
      <c r="A5" s="3">
        <v>1</v>
      </c>
      <c r="B5" s="2" t="s">
        <v>169</v>
      </c>
      <c r="C5" s="3" t="s">
        <v>170</v>
      </c>
      <c r="D5" s="3" t="s">
        <v>118</v>
      </c>
      <c r="E5" s="10" t="s">
        <v>171</v>
      </c>
      <c r="F5" s="10" t="s">
        <v>172</v>
      </c>
      <c r="G5" s="3" t="s">
        <v>173</v>
      </c>
    </row>
    <row r="6" spans="1:9" ht="120" customHeight="1" x14ac:dyDescent="0.25">
      <c r="A6" s="3">
        <v>2</v>
      </c>
      <c r="B6" s="2" t="s">
        <v>174</v>
      </c>
      <c r="C6" s="3" t="s">
        <v>123</v>
      </c>
      <c r="D6" s="3" t="s">
        <v>144</v>
      </c>
      <c r="E6" s="10" t="s">
        <v>175</v>
      </c>
      <c r="F6" s="10" t="s">
        <v>63</v>
      </c>
      <c r="G6" s="3" t="s">
        <v>176</v>
      </c>
    </row>
    <row r="7" spans="1:9" ht="120" customHeight="1" x14ac:dyDescent="0.25">
      <c r="A7" s="3">
        <v>3</v>
      </c>
      <c r="B7" s="2" t="s">
        <v>177</v>
      </c>
      <c r="C7" s="3" t="s">
        <v>178</v>
      </c>
      <c r="D7" s="3" t="s">
        <v>179</v>
      </c>
      <c r="E7" s="10" t="s">
        <v>180</v>
      </c>
      <c r="F7" s="10" t="s">
        <v>181</v>
      </c>
      <c r="G7" s="3" t="s">
        <v>182</v>
      </c>
    </row>
    <row r="9" spans="1:9" x14ac:dyDescent="0.25">
      <c r="A9" s="23" t="s">
        <v>183</v>
      </c>
      <c r="B9" s="19"/>
      <c r="C9" s="19"/>
      <c r="D9" s="19"/>
      <c r="E9" s="19"/>
      <c r="F9" s="19"/>
      <c r="G9" s="19"/>
    </row>
    <row r="11" spans="1:9" x14ac:dyDescent="0.25">
      <c r="A11" s="20" t="s">
        <v>134</v>
      </c>
      <c r="B11" s="19"/>
      <c r="C11" s="19"/>
      <c r="D11" s="19"/>
      <c r="E11" s="19"/>
      <c r="F11" s="19"/>
      <c r="G11" s="19"/>
    </row>
    <row r="12" spans="1:9" ht="25.5" x14ac:dyDescent="0.25">
      <c r="A12" s="9" t="s">
        <v>135</v>
      </c>
      <c r="B12" s="11"/>
      <c r="C12" s="12" t="s">
        <v>136</v>
      </c>
    </row>
    <row r="14" spans="1:9" ht="42.75" x14ac:dyDescent="0.25">
      <c r="A14" s="13" t="s">
        <v>137</v>
      </c>
      <c r="B14" s="13" t="s">
        <v>138</v>
      </c>
      <c r="C14" s="13" t="s">
        <v>139</v>
      </c>
      <c r="D14" s="13" t="s">
        <v>27</v>
      </c>
      <c r="E14" s="13" t="s">
        <v>140</v>
      </c>
      <c r="F14" s="13" t="s">
        <v>29</v>
      </c>
      <c r="G14" s="13" t="s">
        <v>141</v>
      </c>
      <c r="H14" s="13" t="s">
        <v>142</v>
      </c>
      <c r="I14" s="13" t="s">
        <v>143</v>
      </c>
    </row>
    <row r="15" spans="1:9" ht="25.5" x14ac:dyDescent="0.25">
      <c r="A15" s="14" t="s">
        <v>144</v>
      </c>
      <c r="B15" s="15"/>
      <c r="C15" s="15"/>
      <c r="D15" s="16" t="str">
        <f t="shared" ref="D15:D21" si="0">IF(B15=0,"",IF(B15="","",ROUND(C15/B15*100,1)))</f>
        <v/>
      </c>
      <c r="E15" s="15"/>
      <c r="F15" s="15"/>
      <c r="G15" s="15"/>
      <c r="H15" s="15"/>
      <c r="I15" s="15"/>
    </row>
    <row r="16" spans="1:9" x14ac:dyDescent="0.25">
      <c r="A16" s="14" t="s">
        <v>145</v>
      </c>
      <c r="B16" s="15"/>
      <c r="C16" s="15"/>
      <c r="D16" s="16" t="str">
        <f t="shared" si="0"/>
        <v/>
      </c>
      <c r="E16" s="15"/>
      <c r="F16" s="15"/>
      <c r="G16" s="15"/>
      <c r="H16" s="15"/>
      <c r="I16" s="15"/>
    </row>
    <row r="17" spans="1:9" x14ac:dyDescent="0.25">
      <c r="A17" s="14" t="s">
        <v>146</v>
      </c>
      <c r="B17" s="15"/>
      <c r="C17" s="15"/>
      <c r="D17" s="16" t="str">
        <f t="shared" si="0"/>
        <v/>
      </c>
      <c r="E17" s="15"/>
      <c r="F17" s="15"/>
      <c r="G17" s="15"/>
      <c r="H17" s="15"/>
      <c r="I17" s="15"/>
    </row>
    <row r="18" spans="1:9" x14ac:dyDescent="0.25">
      <c r="A18" s="14" t="s">
        <v>147</v>
      </c>
      <c r="B18" s="15"/>
      <c r="C18" s="15"/>
      <c r="D18" s="16" t="str">
        <f t="shared" si="0"/>
        <v/>
      </c>
      <c r="E18" s="15"/>
      <c r="F18" s="15"/>
      <c r="G18" s="15"/>
      <c r="H18" s="15"/>
      <c r="I18" s="15"/>
    </row>
    <row r="19" spans="1:9" ht="25.5" x14ac:dyDescent="0.25">
      <c r="A19" s="14" t="s">
        <v>148</v>
      </c>
      <c r="B19" s="15"/>
      <c r="C19" s="15"/>
      <c r="D19" s="16" t="str">
        <f t="shared" si="0"/>
        <v/>
      </c>
      <c r="E19" s="15"/>
      <c r="F19" s="15"/>
      <c r="G19" s="15"/>
      <c r="H19" s="15"/>
      <c r="I19" s="15"/>
    </row>
    <row r="20" spans="1:9" x14ac:dyDescent="0.25">
      <c r="A20" s="14" t="s">
        <v>149</v>
      </c>
      <c r="B20" s="15"/>
      <c r="C20" s="15"/>
      <c r="D20" s="16" t="str">
        <f t="shared" si="0"/>
        <v/>
      </c>
      <c r="E20" s="15"/>
      <c r="F20" s="15"/>
      <c r="G20" s="15"/>
      <c r="H20" s="15"/>
      <c r="I20" s="15"/>
    </row>
    <row r="21" spans="1:9" ht="25.5" x14ac:dyDescent="0.25">
      <c r="A21" s="17" t="s">
        <v>150</v>
      </c>
      <c r="B21" s="4">
        <f>SUM(B15:B20)</f>
        <v>0</v>
      </c>
      <c r="C21" s="4">
        <f>SUM(C15:C20)</f>
        <v>0</v>
      </c>
      <c r="D21" s="18" t="str">
        <f t="shared" si="0"/>
        <v/>
      </c>
      <c r="E21" s="4">
        <f>SUM(E15:E20)</f>
        <v>0</v>
      </c>
      <c r="F21" s="4">
        <f>SUM(F15:F20)</f>
        <v>0</v>
      </c>
      <c r="G21" s="4">
        <f>SUM(G15:G20)</f>
        <v>0</v>
      </c>
      <c r="H21" s="5"/>
      <c r="I21" s="5"/>
    </row>
  </sheetData>
  <mergeCells count="4">
    <mergeCell ref="A11:G11"/>
    <mergeCell ref="A2:G2"/>
    <mergeCell ref="A1:G1"/>
    <mergeCell ref="A9:G9"/>
  </mergeCells>
  <dataValidations count="1">
    <dataValidation type="list" allowBlank="1" errorTitle="وضعیت نامعتبر" error="یکی از گزینه‌ها را انتخاب کنید" sqref="B12" xr:uid="{00000000-0002-0000-0400-000000000000}">
      <formula1>"انجام‌شده,ناقص,انجام‌نشده"</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1"/>
  <sheetViews>
    <sheetView showGridLines="0" rightToLeft="1" workbookViewId="0">
      <pane ySplit="4" topLeftCell="A5" activePane="bottomLeft" state="frozen"/>
      <selection pane="bottomLeft"/>
    </sheetView>
  </sheetViews>
  <sheetFormatPr defaultRowHeight="15" x14ac:dyDescent="0.25"/>
  <cols>
    <col min="1" max="1" width="8" customWidth="1"/>
    <col min="2" max="2" width="38" customWidth="1"/>
    <col min="3" max="3" width="18" customWidth="1"/>
    <col min="4" max="4" width="22" customWidth="1"/>
    <col min="5" max="5" width="55" customWidth="1"/>
    <col min="6" max="6" width="45" customWidth="1"/>
    <col min="7" max="7" width="22" customWidth="1"/>
    <col min="8" max="9" width="14" customWidth="1"/>
    <col min="10" max="11" width="12" customWidth="1"/>
    <col min="12" max="12" width="14" customWidth="1"/>
    <col min="13" max="13" width="18" customWidth="1"/>
  </cols>
  <sheetData>
    <row r="1" spans="1:9" ht="21.95" customHeight="1" x14ac:dyDescent="0.25">
      <c r="A1" s="22" t="s">
        <v>184</v>
      </c>
      <c r="B1" s="19"/>
      <c r="C1" s="19"/>
      <c r="D1" s="19"/>
      <c r="E1" s="19"/>
      <c r="F1" s="19"/>
      <c r="G1" s="19"/>
    </row>
    <row r="2" spans="1:9" x14ac:dyDescent="0.25">
      <c r="A2" s="21" t="s">
        <v>185</v>
      </c>
      <c r="B2" s="19"/>
      <c r="C2" s="19"/>
      <c r="D2" s="19"/>
      <c r="E2" s="19"/>
      <c r="F2" s="19"/>
      <c r="G2" s="19"/>
    </row>
    <row r="4" spans="1:9" ht="30" customHeight="1" x14ac:dyDescent="0.25">
      <c r="A4" s="1" t="s">
        <v>109</v>
      </c>
      <c r="B4" s="1" t="s">
        <v>110</v>
      </c>
      <c r="C4" s="1" t="s">
        <v>111</v>
      </c>
      <c r="D4" s="1" t="s">
        <v>112</v>
      </c>
      <c r="E4" s="1" t="s">
        <v>113</v>
      </c>
      <c r="F4" s="1" t="s">
        <v>114</v>
      </c>
      <c r="G4" s="1" t="s">
        <v>115</v>
      </c>
    </row>
    <row r="5" spans="1:9" ht="120" customHeight="1" x14ac:dyDescent="0.25">
      <c r="A5" s="3">
        <v>1</v>
      </c>
      <c r="B5" s="2" t="s">
        <v>186</v>
      </c>
      <c r="C5" s="3" t="s">
        <v>187</v>
      </c>
      <c r="D5" s="3" t="s">
        <v>118</v>
      </c>
      <c r="E5" s="10" t="s">
        <v>188</v>
      </c>
      <c r="F5" s="10" t="s">
        <v>189</v>
      </c>
      <c r="G5" s="3" t="s">
        <v>190</v>
      </c>
    </row>
    <row r="6" spans="1:9" ht="120" customHeight="1" x14ac:dyDescent="0.25">
      <c r="A6" s="3">
        <v>2</v>
      </c>
      <c r="B6" s="2" t="s">
        <v>191</v>
      </c>
      <c r="C6" s="3" t="s">
        <v>123</v>
      </c>
      <c r="D6" s="3" t="s">
        <v>144</v>
      </c>
      <c r="E6" s="10" t="s">
        <v>192</v>
      </c>
      <c r="F6" s="10" t="s">
        <v>63</v>
      </c>
      <c r="G6" s="3" t="s">
        <v>193</v>
      </c>
    </row>
    <row r="7" spans="1:9" ht="120" customHeight="1" x14ac:dyDescent="0.25">
      <c r="A7" s="3">
        <v>3</v>
      </c>
      <c r="B7" s="2" t="s">
        <v>194</v>
      </c>
      <c r="C7" s="3" t="s">
        <v>178</v>
      </c>
      <c r="D7" s="3" t="s">
        <v>195</v>
      </c>
      <c r="E7" s="10" t="s">
        <v>196</v>
      </c>
      <c r="F7" s="10" t="s">
        <v>63</v>
      </c>
      <c r="G7" s="3" t="s">
        <v>197</v>
      </c>
    </row>
    <row r="9" spans="1:9" x14ac:dyDescent="0.25">
      <c r="A9" s="23" t="s">
        <v>198</v>
      </c>
      <c r="B9" s="19"/>
      <c r="C9" s="19"/>
      <c r="D9" s="19"/>
      <c r="E9" s="19"/>
      <c r="F9" s="19"/>
      <c r="G9" s="19"/>
    </row>
    <row r="11" spans="1:9" x14ac:dyDescent="0.25">
      <c r="A11" s="20" t="s">
        <v>134</v>
      </c>
      <c r="B11" s="19"/>
      <c r="C11" s="19"/>
      <c r="D11" s="19"/>
      <c r="E11" s="19"/>
      <c r="F11" s="19"/>
      <c r="G11" s="19"/>
    </row>
    <row r="12" spans="1:9" ht="25.5" x14ac:dyDescent="0.25">
      <c r="A12" s="9" t="s">
        <v>135</v>
      </c>
      <c r="B12" s="11"/>
      <c r="C12" s="12" t="s">
        <v>136</v>
      </c>
    </row>
    <row r="14" spans="1:9" ht="42.75" x14ac:dyDescent="0.25">
      <c r="A14" s="13" t="s">
        <v>137</v>
      </c>
      <c r="B14" s="13" t="s">
        <v>138</v>
      </c>
      <c r="C14" s="13" t="s">
        <v>139</v>
      </c>
      <c r="D14" s="13" t="s">
        <v>27</v>
      </c>
      <c r="E14" s="13" t="s">
        <v>140</v>
      </c>
      <c r="F14" s="13" t="s">
        <v>29</v>
      </c>
      <c r="G14" s="13" t="s">
        <v>141</v>
      </c>
      <c r="H14" s="13" t="s">
        <v>142</v>
      </c>
      <c r="I14" s="13" t="s">
        <v>143</v>
      </c>
    </row>
    <row r="15" spans="1:9" ht="25.5" x14ac:dyDescent="0.25">
      <c r="A15" s="14" t="s">
        <v>144</v>
      </c>
      <c r="B15" s="15"/>
      <c r="C15" s="15"/>
      <c r="D15" s="16" t="str">
        <f t="shared" ref="D15:D21" si="0">IF(B15=0,"",IF(B15="","",ROUND(C15/B15*100,1)))</f>
        <v/>
      </c>
      <c r="E15" s="15"/>
      <c r="F15" s="15"/>
      <c r="G15" s="15"/>
      <c r="H15" s="15"/>
      <c r="I15" s="15"/>
    </row>
    <row r="16" spans="1:9" x14ac:dyDescent="0.25">
      <c r="A16" s="14" t="s">
        <v>145</v>
      </c>
      <c r="B16" s="15"/>
      <c r="C16" s="15"/>
      <c r="D16" s="16" t="str">
        <f t="shared" si="0"/>
        <v/>
      </c>
      <c r="E16" s="15"/>
      <c r="F16" s="15"/>
      <c r="G16" s="15"/>
      <c r="H16" s="15"/>
      <c r="I16" s="15"/>
    </row>
    <row r="17" spans="1:9" x14ac:dyDescent="0.25">
      <c r="A17" s="14" t="s">
        <v>146</v>
      </c>
      <c r="B17" s="15"/>
      <c r="C17" s="15"/>
      <c r="D17" s="16" t="str">
        <f t="shared" si="0"/>
        <v/>
      </c>
      <c r="E17" s="15"/>
      <c r="F17" s="15"/>
      <c r="G17" s="15"/>
      <c r="H17" s="15"/>
      <c r="I17" s="15"/>
    </row>
    <row r="18" spans="1:9" x14ac:dyDescent="0.25">
      <c r="A18" s="14" t="s">
        <v>147</v>
      </c>
      <c r="B18" s="15"/>
      <c r="C18" s="15"/>
      <c r="D18" s="16" t="str">
        <f t="shared" si="0"/>
        <v/>
      </c>
      <c r="E18" s="15"/>
      <c r="F18" s="15"/>
      <c r="G18" s="15"/>
      <c r="H18" s="15"/>
      <c r="I18" s="15"/>
    </row>
    <row r="19" spans="1:9" ht="25.5" x14ac:dyDescent="0.25">
      <c r="A19" s="14" t="s">
        <v>148</v>
      </c>
      <c r="B19" s="15"/>
      <c r="C19" s="15"/>
      <c r="D19" s="16" t="str">
        <f t="shared" si="0"/>
        <v/>
      </c>
      <c r="E19" s="15"/>
      <c r="F19" s="15"/>
      <c r="G19" s="15"/>
      <c r="H19" s="15"/>
      <c r="I19" s="15"/>
    </row>
    <row r="20" spans="1:9" x14ac:dyDescent="0.25">
      <c r="A20" s="14" t="s">
        <v>149</v>
      </c>
      <c r="B20" s="15"/>
      <c r="C20" s="15"/>
      <c r="D20" s="16" t="str">
        <f t="shared" si="0"/>
        <v/>
      </c>
      <c r="E20" s="15"/>
      <c r="F20" s="15"/>
      <c r="G20" s="15"/>
      <c r="H20" s="15"/>
      <c r="I20" s="15"/>
    </row>
    <row r="21" spans="1:9" ht="25.5" x14ac:dyDescent="0.25">
      <c r="A21" s="17" t="s">
        <v>150</v>
      </c>
      <c r="B21" s="4">
        <f>SUM(B15:B20)</f>
        <v>0</v>
      </c>
      <c r="C21" s="4">
        <f>SUM(C15:C20)</f>
        <v>0</v>
      </c>
      <c r="D21" s="18" t="str">
        <f t="shared" si="0"/>
        <v/>
      </c>
      <c r="E21" s="4">
        <f>SUM(E15:E20)</f>
        <v>0</v>
      </c>
      <c r="F21" s="4">
        <f>SUM(F15:F20)</f>
        <v>0</v>
      </c>
      <c r="G21" s="4">
        <f>SUM(G15:G20)</f>
        <v>0</v>
      </c>
      <c r="H21" s="5"/>
      <c r="I21" s="5"/>
    </row>
  </sheetData>
  <mergeCells count="4">
    <mergeCell ref="A11:G11"/>
    <mergeCell ref="A2:G2"/>
    <mergeCell ref="A1:G1"/>
    <mergeCell ref="A9:G9"/>
  </mergeCells>
  <dataValidations count="1">
    <dataValidation type="list" allowBlank="1" errorTitle="وضعیت نامعتبر" error="یکی از گزینه‌ها را انتخاب کنید" sqref="B12" xr:uid="{00000000-0002-0000-0500-000000000000}">
      <formula1>"انجام‌شده,ناقص,انجام‌نشده"</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1"/>
  <sheetViews>
    <sheetView showGridLines="0" rightToLeft="1" workbookViewId="0">
      <pane ySplit="4" topLeftCell="A5" activePane="bottomLeft" state="frozen"/>
      <selection pane="bottomLeft"/>
    </sheetView>
  </sheetViews>
  <sheetFormatPr defaultRowHeight="15" x14ac:dyDescent="0.25"/>
  <cols>
    <col min="1" max="1" width="8" customWidth="1"/>
    <col min="2" max="2" width="38" customWidth="1"/>
    <col min="3" max="3" width="18" customWidth="1"/>
    <col min="4" max="4" width="22" customWidth="1"/>
    <col min="5" max="5" width="55" customWidth="1"/>
    <col min="6" max="6" width="45" customWidth="1"/>
    <col min="7" max="7" width="22" customWidth="1"/>
    <col min="8" max="9" width="14" customWidth="1"/>
    <col min="10" max="11" width="12" customWidth="1"/>
    <col min="12" max="12" width="14" customWidth="1"/>
    <col min="13" max="13" width="18" customWidth="1"/>
  </cols>
  <sheetData>
    <row r="1" spans="1:9" ht="21.95" customHeight="1" x14ac:dyDescent="0.25">
      <c r="A1" s="22" t="s">
        <v>199</v>
      </c>
      <c r="B1" s="19"/>
      <c r="C1" s="19"/>
      <c r="D1" s="19"/>
      <c r="E1" s="19"/>
      <c r="F1" s="19"/>
      <c r="G1" s="19"/>
    </row>
    <row r="2" spans="1:9" x14ac:dyDescent="0.25">
      <c r="A2" s="21" t="s">
        <v>200</v>
      </c>
      <c r="B2" s="19"/>
      <c r="C2" s="19"/>
      <c r="D2" s="19"/>
      <c r="E2" s="19"/>
      <c r="F2" s="19"/>
      <c r="G2" s="19"/>
    </row>
    <row r="4" spans="1:9" ht="30" customHeight="1" x14ac:dyDescent="0.25">
      <c r="A4" s="1" t="s">
        <v>109</v>
      </c>
      <c r="B4" s="1" t="s">
        <v>110</v>
      </c>
      <c r="C4" s="1" t="s">
        <v>111</v>
      </c>
      <c r="D4" s="1" t="s">
        <v>112</v>
      </c>
      <c r="E4" s="1" t="s">
        <v>113</v>
      </c>
      <c r="F4" s="1" t="s">
        <v>114</v>
      </c>
      <c r="G4" s="1" t="s">
        <v>115</v>
      </c>
    </row>
    <row r="5" spans="1:9" ht="120" customHeight="1" x14ac:dyDescent="0.25">
      <c r="A5" s="3">
        <v>1</v>
      </c>
      <c r="B5" s="2" t="s">
        <v>201</v>
      </c>
      <c r="C5" s="3" t="s">
        <v>202</v>
      </c>
      <c r="D5" s="3" t="s">
        <v>203</v>
      </c>
      <c r="E5" s="10" t="s">
        <v>204</v>
      </c>
      <c r="F5" s="10" t="s">
        <v>205</v>
      </c>
      <c r="G5" s="3" t="s">
        <v>206</v>
      </c>
    </row>
    <row r="6" spans="1:9" ht="120" customHeight="1" x14ac:dyDescent="0.25">
      <c r="A6" s="3">
        <v>2</v>
      </c>
      <c r="B6" s="2" t="s">
        <v>207</v>
      </c>
      <c r="C6" s="3" t="s">
        <v>123</v>
      </c>
      <c r="D6" s="3" t="s">
        <v>144</v>
      </c>
      <c r="E6" s="10" t="s">
        <v>208</v>
      </c>
      <c r="F6" s="10" t="s">
        <v>63</v>
      </c>
      <c r="G6" s="3" t="s">
        <v>209</v>
      </c>
    </row>
    <row r="7" spans="1:9" ht="120" customHeight="1" x14ac:dyDescent="0.25">
      <c r="A7" s="3">
        <v>3</v>
      </c>
      <c r="B7" s="2" t="s">
        <v>210</v>
      </c>
      <c r="C7" s="3" t="s">
        <v>178</v>
      </c>
      <c r="D7" s="3" t="s">
        <v>179</v>
      </c>
      <c r="E7" s="10" t="s">
        <v>211</v>
      </c>
      <c r="F7" s="10" t="s">
        <v>212</v>
      </c>
      <c r="G7" s="3" t="s">
        <v>213</v>
      </c>
    </row>
    <row r="9" spans="1:9" x14ac:dyDescent="0.25">
      <c r="A9" s="23" t="s">
        <v>214</v>
      </c>
      <c r="B9" s="19"/>
      <c r="C9" s="19"/>
      <c r="D9" s="19"/>
      <c r="E9" s="19"/>
      <c r="F9" s="19"/>
      <c r="G9" s="19"/>
    </row>
    <row r="11" spans="1:9" x14ac:dyDescent="0.25">
      <c r="A11" s="20" t="s">
        <v>134</v>
      </c>
      <c r="B11" s="19"/>
      <c r="C11" s="19"/>
      <c r="D11" s="19"/>
      <c r="E11" s="19"/>
      <c r="F11" s="19"/>
      <c r="G11" s="19"/>
    </row>
    <row r="12" spans="1:9" ht="25.5" x14ac:dyDescent="0.25">
      <c r="A12" s="9" t="s">
        <v>135</v>
      </c>
      <c r="B12" s="11"/>
      <c r="C12" s="12" t="s">
        <v>136</v>
      </c>
    </row>
    <row r="14" spans="1:9" ht="42.75" x14ac:dyDescent="0.25">
      <c r="A14" s="13" t="s">
        <v>137</v>
      </c>
      <c r="B14" s="13" t="s">
        <v>138</v>
      </c>
      <c r="C14" s="13" t="s">
        <v>139</v>
      </c>
      <c r="D14" s="13" t="s">
        <v>27</v>
      </c>
      <c r="E14" s="13" t="s">
        <v>140</v>
      </c>
      <c r="F14" s="13" t="s">
        <v>29</v>
      </c>
      <c r="G14" s="13" t="s">
        <v>141</v>
      </c>
      <c r="H14" s="13" t="s">
        <v>142</v>
      </c>
      <c r="I14" s="13" t="s">
        <v>143</v>
      </c>
    </row>
    <row r="15" spans="1:9" ht="25.5" x14ac:dyDescent="0.25">
      <c r="A15" s="14" t="s">
        <v>144</v>
      </c>
      <c r="B15" s="15"/>
      <c r="C15" s="15"/>
      <c r="D15" s="16" t="str">
        <f t="shared" ref="D15:D21" si="0">IF(B15=0,"",IF(B15="","",ROUND(C15/B15*100,1)))</f>
        <v/>
      </c>
      <c r="E15" s="15"/>
      <c r="F15" s="15"/>
      <c r="G15" s="15"/>
      <c r="H15" s="15"/>
      <c r="I15" s="15"/>
    </row>
    <row r="16" spans="1:9" x14ac:dyDescent="0.25">
      <c r="A16" s="14" t="s">
        <v>145</v>
      </c>
      <c r="B16" s="15"/>
      <c r="C16" s="15"/>
      <c r="D16" s="16" t="str">
        <f t="shared" si="0"/>
        <v/>
      </c>
      <c r="E16" s="15"/>
      <c r="F16" s="15"/>
      <c r="G16" s="15"/>
      <c r="H16" s="15"/>
      <c r="I16" s="15"/>
    </row>
    <row r="17" spans="1:9" x14ac:dyDescent="0.25">
      <c r="A17" s="14" t="s">
        <v>146</v>
      </c>
      <c r="B17" s="15"/>
      <c r="C17" s="15"/>
      <c r="D17" s="16" t="str">
        <f t="shared" si="0"/>
        <v/>
      </c>
      <c r="E17" s="15"/>
      <c r="F17" s="15"/>
      <c r="G17" s="15"/>
      <c r="H17" s="15"/>
      <c r="I17" s="15"/>
    </row>
    <row r="18" spans="1:9" x14ac:dyDescent="0.25">
      <c r="A18" s="14" t="s">
        <v>147</v>
      </c>
      <c r="B18" s="15"/>
      <c r="C18" s="15"/>
      <c r="D18" s="16" t="str">
        <f t="shared" si="0"/>
        <v/>
      </c>
      <c r="E18" s="15"/>
      <c r="F18" s="15"/>
      <c r="G18" s="15"/>
      <c r="H18" s="15"/>
      <c r="I18" s="15"/>
    </row>
    <row r="19" spans="1:9" ht="25.5" x14ac:dyDescent="0.25">
      <c r="A19" s="14" t="s">
        <v>148</v>
      </c>
      <c r="B19" s="15"/>
      <c r="C19" s="15"/>
      <c r="D19" s="16" t="str">
        <f t="shared" si="0"/>
        <v/>
      </c>
      <c r="E19" s="15"/>
      <c r="F19" s="15"/>
      <c r="G19" s="15"/>
      <c r="H19" s="15"/>
      <c r="I19" s="15"/>
    </row>
    <row r="20" spans="1:9" x14ac:dyDescent="0.25">
      <c r="A20" s="14" t="s">
        <v>149</v>
      </c>
      <c r="B20" s="15"/>
      <c r="C20" s="15"/>
      <c r="D20" s="16" t="str">
        <f t="shared" si="0"/>
        <v/>
      </c>
      <c r="E20" s="15"/>
      <c r="F20" s="15"/>
      <c r="G20" s="15"/>
      <c r="H20" s="15"/>
      <c r="I20" s="15"/>
    </row>
    <row r="21" spans="1:9" ht="25.5" x14ac:dyDescent="0.25">
      <c r="A21" s="17" t="s">
        <v>150</v>
      </c>
      <c r="B21" s="4">
        <f>SUM(B15:B20)</f>
        <v>0</v>
      </c>
      <c r="C21" s="4">
        <f>SUM(C15:C20)</f>
        <v>0</v>
      </c>
      <c r="D21" s="18" t="str">
        <f t="shared" si="0"/>
        <v/>
      </c>
      <c r="E21" s="4">
        <f>SUM(E15:E20)</f>
        <v>0</v>
      </c>
      <c r="F21" s="4">
        <f>SUM(F15:F20)</f>
        <v>0</v>
      </c>
      <c r="G21" s="4">
        <f>SUM(G15:G20)</f>
        <v>0</v>
      </c>
      <c r="H21" s="5"/>
      <c r="I21" s="5"/>
    </row>
  </sheetData>
  <mergeCells count="4">
    <mergeCell ref="A11:G11"/>
    <mergeCell ref="A2:G2"/>
    <mergeCell ref="A1:G1"/>
    <mergeCell ref="A9:G9"/>
  </mergeCells>
  <dataValidations count="1">
    <dataValidation type="list" allowBlank="1" errorTitle="وضعیت نامعتبر" error="یکی از گزینه‌ها را انتخاب کنید" sqref="B12" xr:uid="{00000000-0002-0000-0600-000000000000}">
      <formula1>"انجام‌شده,ناقص,انجام‌نشده"</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21"/>
  <sheetViews>
    <sheetView showGridLines="0" rightToLeft="1" workbookViewId="0">
      <pane ySplit="4" topLeftCell="A5" activePane="bottomLeft" state="frozen"/>
      <selection pane="bottomLeft"/>
    </sheetView>
  </sheetViews>
  <sheetFormatPr defaultRowHeight="15" x14ac:dyDescent="0.25"/>
  <cols>
    <col min="1" max="1" width="8" customWidth="1"/>
    <col min="2" max="2" width="38" customWidth="1"/>
    <col min="3" max="3" width="18" customWidth="1"/>
    <col min="4" max="4" width="22" customWidth="1"/>
    <col min="5" max="5" width="55" customWidth="1"/>
    <col min="6" max="6" width="45" customWidth="1"/>
    <col min="7" max="7" width="22" customWidth="1"/>
    <col min="8" max="9" width="14" customWidth="1"/>
    <col min="10" max="11" width="12" customWidth="1"/>
    <col min="12" max="12" width="14" customWidth="1"/>
    <col min="13" max="13" width="18" customWidth="1"/>
  </cols>
  <sheetData>
    <row r="1" spans="1:9" ht="21.95" customHeight="1" x14ac:dyDescent="0.25">
      <c r="A1" s="22" t="s">
        <v>215</v>
      </c>
      <c r="B1" s="19"/>
      <c r="C1" s="19"/>
      <c r="D1" s="19"/>
      <c r="E1" s="19"/>
      <c r="F1" s="19"/>
      <c r="G1" s="19"/>
    </row>
    <row r="2" spans="1:9" x14ac:dyDescent="0.25">
      <c r="A2" s="21" t="s">
        <v>216</v>
      </c>
      <c r="B2" s="19"/>
      <c r="C2" s="19"/>
      <c r="D2" s="19"/>
      <c r="E2" s="19"/>
      <c r="F2" s="19"/>
      <c r="G2" s="19"/>
    </row>
    <row r="4" spans="1:9" ht="30" customHeight="1" x14ac:dyDescent="0.25">
      <c r="A4" s="1" t="s">
        <v>109</v>
      </c>
      <c r="B4" s="1" t="s">
        <v>110</v>
      </c>
      <c r="C4" s="1" t="s">
        <v>111</v>
      </c>
      <c r="D4" s="1" t="s">
        <v>112</v>
      </c>
      <c r="E4" s="1" t="s">
        <v>113</v>
      </c>
      <c r="F4" s="1" t="s">
        <v>114</v>
      </c>
      <c r="G4" s="1" t="s">
        <v>115</v>
      </c>
    </row>
    <row r="5" spans="1:9" ht="120" customHeight="1" x14ac:dyDescent="0.25">
      <c r="A5" s="3">
        <v>1</v>
      </c>
      <c r="B5" s="2" t="s">
        <v>217</v>
      </c>
      <c r="C5" s="3" t="s">
        <v>218</v>
      </c>
      <c r="D5" s="3" t="s">
        <v>118</v>
      </c>
      <c r="E5" s="10" t="s">
        <v>219</v>
      </c>
      <c r="F5" s="10" t="s">
        <v>220</v>
      </c>
      <c r="G5" s="3" t="s">
        <v>221</v>
      </c>
    </row>
    <row r="6" spans="1:9" ht="120" customHeight="1" x14ac:dyDescent="0.25">
      <c r="A6" s="3">
        <v>2</v>
      </c>
      <c r="B6" s="2" t="s">
        <v>222</v>
      </c>
      <c r="C6" s="3" t="s">
        <v>123</v>
      </c>
      <c r="D6" s="3" t="s">
        <v>144</v>
      </c>
      <c r="E6" s="10" t="s">
        <v>223</v>
      </c>
      <c r="F6" s="10" t="s">
        <v>63</v>
      </c>
      <c r="G6" s="3" t="s">
        <v>165</v>
      </c>
    </row>
    <row r="7" spans="1:9" ht="120" customHeight="1" x14ac:dyDescent="0.25">
      <c r="A7" s="3">
        <v>3</v>
      </c>
      <c r="B7" s="2" t="s">
        <v>224</v>
      </c>
      <c r="C7" s="3" t="s">
        <v>225</v>
      </c>
      <c r="D7" s="3" t="s">
        <v>179</v>
      </c>
      <c r="E7" s="10" t="s">
        <v>226</v>
      </c>
      <c r="F7" s="10" t="s">
        <v>63</v>
      </c>
      <c r="G7" s="3" t="s">
        <v>227</v>
      </c>
    </row>
    <row r="9" spans="1:9" x14ac:dyDescent="0.25">
      <c r="A9" s="23" t="s">
        <v>228</v>
      </c>
      <c r="B9" s="19"/>
      <c r="C9" s="19"/>
      <c r="D9" s="19"/>
      <c r="E9" s="19"/>
      <c r="F9" s="19"/>
      <c r="G9" s="19"/>
    </row>
    <row r="11" spans="1:9" x14ac:dyDescent="0.25">
      <c r="A11" s="20" t="s">
        <v>134</v>
      </c>
      <c r="B11" s="19"/>
      <c r="C11" s="19"/>
      <c r="D11" s="19"/>
      <c r="E11" s="19"/>
      <c r="F11" s="19"/>
      <c r="G11" s="19"/>
    </row>
    <row r="12" spans="1:9" ht="25.5" x14ac:dyDescent="0.25">
      <c r="A12" s="9" t="s">
        <v>135</v>
      </c>
      <c r="B12" s="11"/>
      <c r="C12" s="12" t="s">
        <v>136</v>
      </c>
    </row>
    <row r="14" spans="1:9" ht="42.75" x14ac:dyDescent="0.25">
      <c r="A14" s="13" t="s">
        <v>137</v>
      </c>
      <c r="B14" s="13" t="s">
        <v>138</v>
      </c>
      <c r="C14" s="13" t="s">
        <v>139</v>
      </c>
      <c r="D14" s="13" t="s">
        <v>27</v>
      </c>
      <c r="E14" s="13" t="s">
        <v>140</v>
      </c>
      <c r="F14" s="13" t="s">
        <v>29</v>
      </c>
      <c r="G14" s="13" t="s">
        <v>141</v>
      </c>
      <c r="H14" s="13" t="s">
        <v>142</v>
      </c>
      <c r="I14" s="13" t="s">
        <v>143</v>
      </c>
    </row>
    <row r="15" spans="1:9" ht="25.5" x14ac:dyDescent="0.25">
      <c r="A15" s="14" t="s">
        <v>144</v>
      </c>
      <c r="B15" s="15"/>
      <c r="C15" s="15"/>
      <c r="D15" s="16" t="str">
        <f t="shared" ref="D15:D21" si="0">IF(B15=0,"",IF(B15="","",ROUND(C15/B15*100,1)))</f>
        <v/>
      </c>
      <c r="E15" s="15"/>
      <c r="F15" s="15"/>
      <c r="G15" s="15"/>
      <c r="H15" s="15"/>
      <c r="I15" s="15"/>
    </row>
    <row r="16" spans="1:9" x14ac:dyDescent="0.25">
      <c r="A16" s="14" t="s">
        <v>145</v>
      </c>
      <c r="B16" s="15"/>
      <c r="C16" s="15"/>
      <c r="D16" s="16" t="str">
        <f t="shared" si="0"/>
        <v/>
      </c>
      <c r="E16" s="15"/>
      <c r="F16" s="15"/>
      <c r="G16" s="15"/>
      <c r="H16" s="15"/>
      <c r="I16" s="15"/>
    </row>
    <row r="17" spans="1:9" x14ac:dyDescent="0.25">
      <c r="A17" s="14" t="s">
        <v>146</v>
      </c>
      <c r="B17" s="15"/>
      <c r="C17" s="15"/>
      <c r="D17" s="16" t="str">
        <f t="shared" si="0"/>
        <v/>
      </c>
      <c r="E17" s="15"/>
      <c r="F17" s="15"/>
      <c r="G17" s="15"/>
      <c r="H17" s="15"/>
      <c r="I17" s="15"/>
    </row>
    <row r="18" spans="1:9" x14ac:dyDescent="0.25">
      <c r="A18" s="14" t="s">
        <v>147</v>
      </c>
      <c r="B18" s="15"/>
      <c r="C18" s="15"/>
      <c r="D18" s="16" t="str">
        <f t="shared" si="0"/>
        <v/>
      </c>
      <c r="E18" s="15"/>
      <c r="F18" s="15"/>
      <c r="G18" s="15"/>
      <c r="H18" s="15"/>
      <c r="I18" s="15"/>
    </row>
    <row r="19" spans="1:9" ht="25.5" x14ac:dyDescent="0.25">
      <c r="A19" s="14" t="s">
        <v>148</v>
      </c>
      <c r="B19" s="15"/>
      <c r="C19" s="15"/>
      <c r="D19" s="16" t="str">
        <f t="shared" si="0"/>
        <v/>
      </c>
      <c r="E19" s="15"/>
      <c r="F19" s="15"/>
      <c r="G19" s="15"/>
      <c r="H19" s="15"/>
      <c r="I19" s="15"/>
    </row>
    <row r="20" spans="1:9" x14ac:dyDescent="0.25">
      <c r="A20" s="14" t="s">
        <v>149</v>
      </c>
      <c r="B20" s="15"/>
      <c r="C20" s="15"/>
      <c r="D20" s="16" t="str">
        <f t="shared" si="0"/>
        <v/>
      </c>
      <c r="E20" s="15"/>
      <c r="F20" s="15"/>
      <c r="G20" s="15"/>
      <c r="H20" s="15"/>
      <c r="I20" s="15"/>
    </row>
    <row r="21" spans="1:9" ht="25.5" x14ac:dyDescent="0.25">
      <c r="A21" s="17" t="s">
        <v>150</v>
      </c>
      <c r="B21" s="4">
        <f>SUM(B15:B20)</f>
        <v>0</v>
      </c>
      <c r="C21" s="4">
        <f>SUM(C15:C20)</f>
        <v>0</v>
      </c>
      <c r="D21" s="18" t="str">
        <f t="shared" si="0"/>
        <v/>
      </c>
      <c r="E21" s="4">
        <f>SUM(E15:E20)</f>
        <v>0</v>
      </c>
      <c r="F21" s="4">
        <f>SUM(F15:F20)</f>
        <v>0</v>
      </c>
      <c r="G21" s="4">
        <f>SUM(G15:G20)</f>
        <v>0</v>
      </c>
      <c r="H21" s="5"/>
      <c r="I21" s="5"/>
    </row>
  </sheetData>
  <mergeCells count="4">
    <mergeCell ref="A11:G11"/>
    <mergeCell ref="A2:G2"/>
    <mergeCell ref="A1:G1"/>
    <mergeCell ref="A9:G9"/>
  </mergeCells>
  <dataValidations count="1">
    <dataValidation type="list" allowBlank="1" errorTitle="وضعیت نامعتبر" error="یکی از گزینه‌ها را انتخاب کنید" sqref="B12" xr:uid="{00000000-0002-0000-0700-000000000000}">
      <formula1>"انجام‌شده,ناقص,انجام‌نشده"</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21"/>
  <sheetViews>
    <sheetView showGridLines="0" rightToLeft="1" workbookViewId="0">
      <pane ySplit="4" topLeftCell="A5" activePane="bottomLeft" state="frozen"/>
      <selection pane="bottomLeft"/>
    </sheetView>
  </sheetViews>
  <sheetFormatPr defaultRowHeight="15" x14ac:dyDescent="0.25"/>
  <cols>
    <col min="1" max="1" width="8" customWidth="1"/>
    <col min="2" max="2" width="38" customWidth="1"/>
    <col min="3" max="3" width="18" customWidth="1"/>
    <col min="4" max="4" width="22" customWidth="1"/>
    <col min="5" max="5" width="55" customWidth="1"/>
    <col min="6" max="6" width="45" customWidth="1"/>
    <col min="7" max="7" width="22" customWidth="1"/>
    <col min="8" max="9" width="14" customWidth="1"/>
    <col min="10" max="11" width="12" customWidth="1"/>
    <col min="12" max="12" width="14" customWidth="1"/>
    <col min="13" max="13" width="18" customWidth="1"/>
  </cols>
  <sheetData>
    <row r="1" spans="1:9" ht="21.95" customHeight="1" x14ac:dyDescent="0.25">
      <c r="A1" s="22" t="s">
        <v>229</v>
      </c>
      <c r="B1" s="19"/>
      <c r="C1" s="19"/>
      <c r="D1" s="19"/>
      <c r="E1" s="19"/>
      <c r="F1" s="19"/>
      <c r="G1" s="19"/>
    </row>
    <row r="2" spans="1:9" x14ac:dyDescent="0.25">
      <c r="A2" s="21" t="s">
        <v>230</v>
      </c>
      <c r="B2" s="19"/>
      <c r="C2" s="19"/>
      <c r="D2" s="19"/>
      <c r="E2" s="19"/>
      <c r="F2" s="19"/>
      <c r="G2" s="19"/>
    </row>
    <row r="4" spans="1:9" ht="30" customHeight="1" x14ac:dyDescent="0.25">
      <c r="A4" s="1" t="s">
        <v>109</v>
      </c>
      <c r="B4" s="1" t="s">
        <v>110</v>
      </c>
      <c r="C4" s="1" t="s">
        <v>111</v>
      </c>
      <c r="D4" s="1" t="s">
        <v>112</v>
      </c>
      <c r="E4" s="1" t="s">
        <v>113</v>
      </c>
      <c r="F4" s="1" t="s">
        <v>114</v>
      </c>
      <c r="G4" s="1" t="s">
        <v>115</v>
      </c>
    </row>
    <row r="5" spans="1:9" ht="120" customHeight="1" x14ac:dyDescent="0.25">
      <c r="A5" s="3">
        <v>1</v>
      </c>
      <c r="B5" s="2" t="s">
        <v>231</v>
      </c>
      <c r="C5" s="3" t="s">
        <v>232</v>
      </c>
      <c r="D5" s="3" t="s">
        <v>118</v>
      </c>
      <c r="E5" s="10" t="s">
        <v>233</v>
      </c>
      <c r="F5" s="10" t="s">
        <v>234</v>
      </c>
      <c r="G5" s="3" t="s">
        <v>235</v>
      </c>
    </row>
    <row r="6" spans="1:9" ht="120" customHeight="1" x14ac:dyDescent="0.25">
      <c r="A6" s="3">
        <v>2</v>
      </c>
      <c r="B6" s="2" t="s">
        <v>236</v>
      </c>
      <c r="C6" s="3" t="s">
        <v>123</v>
      </c>
      <c r="D6" s="3" t="s">
        <v>144</v>
      </c>
      <c r="E6" s="10" t="s">
        <v>237</v>
      </c>
      <c r="F6" s="10" t="s">
        <v>63</v>
      </c>
      <c r="G6" s="3" t="s">
        <v>238</v>
      </c>
    </row>
    <row r="7" spans="1:9" ht="120" customHeight="1" x14ac:dyDescent="0.25">
      <c r="A7" s="3">
        <v>3</v>
      </c>
      <c r="B7" s="2" t="s">
        <v>239</v>
      </c>
      <c r="C7" s="3" t="s">
        <v>240</v>
      </c>
      <c r="D7" s="3" t="s">
        <v>241</v>
      </c>
      <c r="E7" s="10" t="s">
        <v>242</v>
      </c>
      <c r="F7" s="10" t="s">
        <v>63</v>
      </c>
      <c r="G7" s="3" t="s">
        <v>243</v>
      </c>
    </row>
    <row r="9" spans="1:9" x14ac:dyDescent="0.25">
      <c r="A9" s="23" t="s">
        <v>244</v>
      </c>
      <c r="B9" s="19"/>
      <c r="C9" s="19"/>
      <c r="D9" s="19"/>
      <c r="E9" s="19"/>
      <c r="F9" s="19"/>
      <c r="G9" s="19"/>
    </row>
    <row r="11" spans="1:9" x14ac:dyDescent="0.25">
      <c r="A11" s="20" t="s">
        <v>134</v>
      </c>
      <c r="B11" s="19"/>
      <c r="C11" s="19"/>
      <c r="D11" s="19"/>
      <c r="E11" s="19"/>
      <c r="F11" s="19"/>
      <c r="G11" s="19"/>
    </row>
    <row r="12" spans="1:9" ht="25.5" x14ac:dyDescent="0.25">
      <c r="A12" s="9" t="s">
        <v>135</v>
      </c>
      <c r="B12" s="11"/>
      <c r="C12" s="12" t="s">
        <v>136</v>
      </c>
    </row>
    <row r="14" spans="1:9" ht="42.75" x14ac:dyDescent="0.25">
      <c r="A14" s="13" t="s">
        <v>137</v>
      </c>
      <c r="B14" s="13" t="s">
        <v>138</v>
      </c>
      <c r="C14" s="13" t="s">
        <v>139</v>
      </c>
      <c r="D14" s="13" t="s">
        <v>27</v>
      </c>
      <c r="E14" s="13" t="s">
        <v>140</v>
      </c>
      <c r="F14" s="13" t="s">
        <v>29</v>
      </c>
      <c r="G14" s="13" t="s">
        <v>141</v>
      </c>
      <c r="H14" s="13" t="s">
        <v>142</v>
      </c>
      <c r="I14" s="13" t="s">
        <v>143</v>
      </c>
    </row>
    <row r="15" spans="1:9" ht="25.5" x14ac:dyDescent="0.25">
      <c r="A15" s="14" t="s">
        <v>144</v>
      </c>
      <c r="B15" s="15"/>
      <c r="C15" s="15"/>
      <c r="D15" s="16" t="str">
        <f t="shared" ref="D15:D21" si="0">IF(B15=0,"",IF(B15="","",ROUND(C15/B15*100,1)))</f>
        <v/>
      </c>
      <c r="E15" s="15"/>
      <c r="F15" s="15"/>
      <c r="G15" s="15"/>
      <c r="H15" s="15"/>
      <c r="I15" s="15"/>
    </row>
    <row r="16" spans="1:9" x14ac:dyDescent="0.25">
      <c r="A16" s="14" t="s">
        <v>145</v>
      </c>
      <c r="B16" s="15"/>
      <c r="C16" s="15"/>
      <c r="D16" s="16" t="str">
        <f t="shared" si="0"/>
        <v/>
      </c>
      <c r="E16" s="15"/>
      <c r="F16" s="15"/>
      <c r="G16" s="15"/>
      <c r="H16" s="15"/>
      <c r="I16" s="15"/>
    </row>
    <row r="17" spans="1:9" x14ac:dyDescent="0.25">
      <c r="A17" s="14" t="s">
        <v>146</v>
      </c>
      <c r="B17" s="15"/>
      <c r="C17" s="15"/>
      <c r="D17" s="16" t="str">
        <f t="shared" si="0"/>
        <v/>
      </c>
      <c r="E17" s="15"/>
      <c r="F17" s="15"/>
      <c r="G17" s="15"/>
      <c r="H17" s="15"/>
      <c r="I17" s="15"/>
    </row>
    <row r="18" spans="1:9" x14ac:dyDescent="0.25">
      <c r="A18" s="14" t="s">
        <v>147</v>
      </c>
      <c r="B18" s="15"/>
      <c r="C18" s="15"/>
      <c r="D18" s="16" t="str">
        <f t="shared" si="0"/>
        <v/>
      </c>
      <c r="E18" s="15"/>
      <c r="F18" s="15"/>
      <c r="G18" s="15"/>
      <c r="H18" s="15"/>
      <c r="I18" s="15"/>
    </row>
    <row r="19" spans="1:9" ht="25.5" x14ac:dyDescent="0.25">
      <c r="A19" s="14" t="s">
        <v>148</v>
      </c>
      <c r="B19" s="15"/>
      <c r="C19" s="15"/>
      <c r="D19" s="16" t="str">
        <f t="shared" si="0"/>
        <v/>
      </c>
      <c r="E19" s="15"/>
      <c r="F19" s="15"/>
      <c r="G19" s="15"/>
      <c r="H19" s="15"/>
      <c r="I19" s="15"/>
    </row>
    <row r="20" spans="1:9" x14ac:dyDescent="0.25">
      <c r="A20" s="14" t="s">
        <v>149</v>
      </c>
      <c r="B20" s="15"/>
      <c r="C20" s="15"/>
      <c r="D20" s="16" t="str">
        <f t="shared" si="0"/>
        <v/>
      </c>
      <c r="E20" s="15"/>
      <c r="F20" s="15"/>
      <c r="G20" s="15"/>
      <c r="H20" s="15"/>
      <c r="I20" s="15"/>
    </row>
    <row r="21" spans="1:9" ht="25.5" x14ac:dyDescent="0.25">
      <c r="A21" s="17" t="s">
        <v>150</v>
      </c>
      <c r="B21" s="4">
        <f>SUM(B15:B20)</f>
        <v>0</v>
      </c>
      <c r="C21" s="4">
        <f>SUM(C15:C20)</f>
        <v>0</v>
      </c>
      <c r="D21" s="18" t="str">
        <f t="shared" si="0"/>
        <v/>
      </c>
      <c r="E21" s="4">
        <f>SUM(E15:E20)</f>
        <v>0</v>
      </c>
      <c r="F21" s="4">
        <f>SUM(F15:F20)</f>
        <v>0</v>
      </c>
      <c r="G21" s="4">
        <f>SUM(G15:G20)</f>
        <v>0</v>
      </c>
      <c r="H21" s="5"/>
      <c r="I21" s="5"/>
    </row>
  </sheetData>
  <mergeCells count="4">
    <mergeCell ref="A11:G11"/>
    <mergeCell ref="A2:G2"/>
    <mergeCell ref="A1:G1"/>
    <mergeCell ref="A9:G9"/>
  </mergeCells>
  <dataValidations count="1">
    <dataValidation type="list" allowBlank="1" errorTitle="وضعیت نامعتبر" error="یکی از گزینه‌ها را انتخاب کنید" sqref="B12" xr:uid="{00000000-0002-0000-0800-000000000000}">
      <formula1>"انجام‌شده,ناقص,انجام‌نشده"</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1"/>
  <sheetViews>
    <sheetView showGridLines="0" rightToLeft="1" workbookViewId="0">
      <pane ySplit="4" topLeftCell="A5" activePane="bottomLeft" state="frozen"/>
      <selection pane="bottomLeft"/>
    </sheetView>
  </sheetViews>
  <sheetFormatPr defaultRowHeight="15" x14ac:dyDescent="0.25"/>
  <cols>
    <col min="1" max="1" width="8" customWidth="1"/>
    <col min="2" max="2" width="38" customWidth="1"/>
    <col min="3" max="3" width="18" customWidth="1"/>
    <col min="4" max="4" width="22" customWidth="1"/>
    <col min="5" max="5" width="55" customWidth="1"/>
    <col min="6" max="6" width="45" customWidth="1"/>
    <col min="7" max="7" width="22" customWidth="1"/>
    <col min="8" max="9" width="14" customWidth="1"/>
    <col min="10" max="11" width="12" customWidth="1"/>
    <col min="12" max="12" width="14" customWidth="1"/>
    <col min="13" max="13" width="18" customWidth="1"/>
  </cols>
  <sheetData>
    <row r="1" spans="1:9" ht="21.95" customHeight="1" x14ac:dyDescent="0.25">
      <c r="A1" s="22" t="s">
        <v>245</v>
      </c>
      <c r="B1" s="19"/>
      <c r="C1" s="19"/>
      <c r="D1" s="19"/>
      <c r="E1" s="19"/>
      <c r="F1" s="19"/>
      <c r="G1" s="19"/>
    </row>
    <row r="2" spans="1:9" x14ac:dyDescent="0.25">
      <c r="A2" s="21" t="s">
        <v>246</v>
      </c>
      <c r="B2" s="19"/>
      <c r="C2" s="19"/>
      <c r="D2" s="19"/>
      <c r="E2" s="19"/>
      <c r="F2" s="19"/>
      <c r="G2" s="19"/>
    </row>
    <row r="4" spans="1:9" ht="30" customHeight="1" x14ac:dyDescent="0.25">
      <c r="A4" s="1" t="s">
        <v>109</v>
      </c>
      <c r="B4" s="1" t="s">
        <v>110</v>
      </c>
      <c r="C4" s="1" t="s">
        <v>111</v>
      </c>
      <c r="D4" s="1" t="s">
        <v>112</v>
      </c>
      <c r="E4" s="1" t="s">
        <v>113</v>
      </c>
      <c r="F4" s="1" t="s">
        <v>114</v>
      </c>
      <c r="G4" s="1" t="s">
        <v>115</v>
      </c>
    </row>
    <row r="5" spans="1:9" ht="120" customHeight="1" x14ac:dyDescent="0.25">
      <c r="A5" s="3">
        <v>1</v>
      </c>
      <c r="B5" s="2" t="s">
        <v>247</v>
      </c>
      <c r="C5" s="3" t="s">
        <v>202</v>
      </c>
      <c r="D5" s="3" t="s">
        <v>118</v>
      </c>
      <c r="E5" s="10" t="s">
        <v>248</v>
      </c>
      <c r="F5" s="10" t="s">
        <v>249</v>
      </c>
      <c r="G5" s="3" t="s">
        <v>250</v>
      </c>
    </row>
    <row r="6" spans="1:9" ht="120" customHeight="1" x14ac:dyDescent="0.25">
      <c r="A6" s="3">
        <v>2</v>
      </c>
      <c r="B6" s="2" t="s">
        <v>251</v>
      </c>
      <c r="C6" s="3" t="s">
        <v>123</v>
      </c>
      <c r="D6" s="3" t="s">
        <v>144</v>
      </c>
      <c r="E6" s="10" t="s">
        <v>252</v>
      </c>
      <c r="F6" s="10" t="s">
        <v>63</v>
      </c>
      <c r="G6" s="3" t="s">
        <v>253</v>
      </c>
    </row>
    <row r="7" spans="1:9" ht="120" customHeight="1" x14ac:dyDescent="0.25">
      <c r="A7" s="3">
        <v>3</v>
      </c>
      <c r="B7" s="2" t="s">
        <v>254</v>
      </c>
      <c r="C7" s="3" t="s">
        <v>178</v>
      </c>
      <c r="D7" s="3" t="s">
        <v>179</v>
      </c>
      <c r="E7" s="10" t="s">
        <v>255</v>
      </c>
      <c r="F7" s="10" t="s">
        <v>63</v>
      </c>
      <c r="G7" s="3" t="s">
        <v>256</v>
      </c>
    </row>
    <row r="9" spans="1:9" x14ac:dyDescent="0.25">
      <c r="A9" s="23" t="s">
        <v>257</v>
      </c>
      <c r="B9" s="19"/>
      <c r="C9" s="19"/>
      <c r="D9" s="19"/>
      <c r="E9" s="19"/>
      <c r="F9" s="19"/>
      <c r="G9" s="19"/>
    </row>
    <row r="11" spans="1:9" x14ac:dyDescent="0.25">
      <c r="A11" s="20" t="s">
        <v>134</v>
      </c>
      <c r="B11" s="19"/>
      <c r="C11" s="19"/>
      <c r="D11" s="19"/>
      <c r="E11" s="19"/>
      <c r="F11" s="19"/>
      <c r="G11" s="19"/>
    </row>
    <row r="12" spans="1:9" ht="25.5" x14ac:dyDescent="0.25">
      <c r="A12" s="9" t="s">
        <v>135</v>
      </c>
      <c r="B12" s="11"/>
      <c r="C12" s="12" t="s">
        <v>136</v>
      </c>
    </row>
    <row r="14" spans="1:9" ht="42.75" x14ac:dyDescent="0.25">
      <c r="A14" s="13" t="s">
        <v>137</v>
      </c>
      <c r="B14" s="13" t="s">
        <v>138</v>
      </c>
      <c r="C14" s="13" t="s">
        <v>139</v>
      </c>
      <c r="D14" s="13" t="s">
        <v>27</v>
      </c>
      <c r="E14" s="13" t="s">
        <v>140</v>
      </c>
      <c r="F14" s="13" t="s">
        <v>29</v>
      </c>
      <c r="G14" s="13" t="s">
        <v>141</v>
      </c>
      <c r="H14" s="13" t="s">
        <v>142</v>
      </c>
      <c r="I14" s="13" t="s">
        <v>143</v>
      </c>
    </row>
    <row r="15" spans="1:9" ht="25.5" x14ac:dyDescent="0.25">
      <c r="A15" s="14" t="s">
        <v>144</v>
      </c>
      <c r="B15" s="15"/>
      <c r="C15" s="15"/>
      <c r="D15" s="16" t="str">
        <f t="shared" ref="D15:D21" si="0">IF(B15=0,"",IF(B15="","",ROUND(C15/B15*100,1)))</f>
        <v/>
      </c>
      <c r="E15" s="15"/>
      <c r="F15" s="15"/>
      <c r="G15" s="15"/>
      <c r="H15" s="15"/>
      <c r="I15" s="15"/>
    </row>
    <row r="16" spans="1:9" x14ac:dyDescent="0.25">
      <c r="A16" s="14" t="s">
        <v>145</v>
      </c>
      <c r="B16" s="15"/>
      <c r="C16" s="15"/>
      <c r="D16" s="16" t="str">
        <f t="shared" si="0"/>
        <v/>
      </c>
      <c r="E16" s="15"/>
      <c r="F16" s="15"/>
      <c r="G16" s="15"/>
      <c r="H16" s="15"/>
      <c r="I16" s="15"/>
    </row>
    <row r="17" spans="1:9" x14ac:dyDescent="0.25">
      <c r="A17" s="14" t="s">
        <v>146</v>
      </c>
      <c r="B17" s="15"/>
      <c r="C17" s="15"/>
      <c r="D17" s="16" t="str">
        <f t="shared" si="0"/>
        <v/>
      </c>
      <c r="E17" s="15"/>
      <c r="F17" s="15"/>
      <c r="G17" s="15"/>
      <c r="H17" s="15"/>
      <c r="I17" s="15"/>
    </row>
    <row r="18" spans="1:9" x14ac:dyDescent="0.25">
      <c r="A18" s="14" t="s">
        <v>147</v>
      </c>
      <c r="B18" s="15"/>
      <c r="C18" s="15"/>
      <c r="D18" s="16" t="str">
        <f t="shared" si="0"/>
        <v/>
      </c>
      <c r="E18" s="15"/>
      <c r="F18" s="15"/>
      <c r="G18" s="15"/>
      <c r="H18" s="15"/>
      <c r="I18" s="15"/>
    </row>
    <row r="19" spans="1:9" ht="25.5" x14ac:dyDescent="0.25">
      <c r="A19" s="14" t="s">
        <v>148</v>
      </c>
      <c r="B19" s="15"/>
      <c r="C19" s="15"/>
      <c r="D19" s="16" t="str">
        <f t="shared" si="0"/>
        <v/>
      </c>
      <c r="E19" s="15"/>
      <c r="F19" s="15"/>
      <c r="G19" s="15"/>
      <c r="H19" s="15"/>
      <c r="I19" s="15"/>
    </row>
    <row r="20" spans="1:9" x14ac:dyDescent="0.25">
      <c r="A20" s="14" t="s">
        <v>149</v>
      </c>
      <c r="B20" s="15"/>
      <c r="C20" s="15"/>
      <c r="D20" s="16" t="str">
        <f t="shared" si="0"/>
        <v/>
      </c>
      <c r="E20" s="15"/>
      <c r="F20" s="15"/>
      <c r="G20" s="15"/>
      <c r="H20" s="15"/>
      <c r="I20" s="15"/>
    </row>
    <row r="21" spans="1:9" ht="25.5" x14ac:dyDescent="0.25">
      <c r="A21" s="17" t="s">
        <v>150</v>
      </c>
      <c r="B21" s="4">
        <f>SUM(B15:B20)</f>
        <v>0</v>
      </c>
      <c r="C21" s="4">
        <f>SUM(C15:C20)</f>
        <v>0</v>
      </c>
      <c r="D21" s="18" t="str">
        <f t="shared" si="0"/>
        <v/>
      </c>
      <c r="E21" s="4">
        <f>SUM(E15:E20)</f>
        <v>0</v>
      </c>
      <c r="F21" s="4">
        <f>SUM(F15:F20)</f>
        <v>0</v>
      </c>
      <c r="G21" s="4">
        <f>SUM(G15:G20)</f>
        <v>0</v>
      </c>
      <c r="H21" s="5"/>
      <c r="I21" s="5"/>
    </row>
  </sheetData>
  <mergeCells count="4">
    <mergeCell ref="A11:G11"/>
    <mergeCell ref="A2:G2"/>
    <mergeCell ref="A1:G1"/>
    <mergeCell ref="A9:G9"/>
  </mergeCells>
  <dataValidations count="1">
    <dataValidation type="list" allowBlank="1" errorTitle="وضعیت نامعتبر" error="یکی از گزینه‌ها را انتخاب کنید" sqref="B12" xr:uid="{00000000-0002-0000-0900-000000000000}">
      <formula1>"انجام‌شده,ناقص,انجام‌نشده"</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21"/>
  <sheetViews>
    <sheetView showGridLines="0" rightToLeft="1" workbookViewId="0">
      <pane ySplit="4" topLeftCell="A5" activePane="bottomLeft" state="frozen"/>
      <selection pane="bottomLeft"/>
    </sheetView>
  </sheetViews>
  <sheetFormatPr defaultRowHeight="15" x14ac:dyDescent="0.25"/>
  <cols>
    <col min="1" max="1" width="8" customWidth="1"/>
    <col min="2" max="2" width="38" customWidth="1"/>
    <col min="3" max="3" width="18" customWidth="1"/>
    <col min="4" max="4" width="22" customWidth="1"/>
    <col min="5" max="5" width="55" customWidth="1"/>
    <col min="6" max="6" width="45" customWidth="1"/>
    <col min="7" max="7" width="22" customWidth="1"/>
    <col min="8" max="9" width="14" customWidth="1"/>
    <col min="10" max="11" width="12" customWidth="1"/>
    <col min="12" max="12" width="14" customWidth="1"/>
    <col min="13" max="13" width="18" customWidth="1"/>
  </cols>
  <sheetData>
    <row r="1" spans="1:9" ht="21.95" customHeight="1" x14ac:dyDescent="0.25">
      <c r="A1" s="22" t="s">
        <v>258</v>
      </c>
      <c r="B1" s="19"/>
      <c r="C1" s="19"/>
      <c r="D1" s="19"/>
      <c r="E1" s="19"/>
      <c r="F1" s="19"/>
      <c r="G1" s="19"/>
    </row>
    <row r="2" spans="1:9" x14ac:dyDescent="0.25">
      <c r="A2" s="21" t="s">
        <v>259</v>
      </c>
      <c r="B2" s="19"/>
      <c r="C2" s="19"/>
      <c r="D2" s="19"/>
      <c r="E2" s="19"/>
      <c r="F2" s="19"/>
      <c r="G2" s="19"/>
    </row>
    <row r="4" spans="1:9" ht="30" customHeight="1" x14ac:dyDescent="0.25">
      <c r="A4" s="1" t="s">
        <v>109</v>
      </c>
      <c r="B4" s="1" t="s">
        <v>110</v>
      </c>
      <c r="C4" s="1" t="s">
        <v>111</v>
      </c>
      <c r="D4" s="1" t="s">
        <v>112</v>
      </c>
      <c r="E4" s="1" t="s">
        <v>113</v>
      </c>
      <c r="F4" s="1" t="s">
        <v>114</v>
      </c>
      <c r="G4" s="1" t="s">
        <v>115</v>
      </c>
    </row>
    <row r="5" spans="1:9" ht="120" customHeight="1" x14ac:dyDescent="0.25">
      <c r="A5" s="3">
        <v>1</v>
      </c>
      <c r="B5" s="2" t="s">
        <v>260</v>
      </c>
      <c r="C5" s="3" t="s">
        <v>261</v>
      </c>
      <c r="D5" s="3" t="s">
        <v>155</v>
      </c>
      <c r="E5" s="10" t="s">
        <v>262</v>
      </c>
      <c r="F5" s="10" t="s">
        <v>263</v>
      </c>
      <c r="G5" s="3" t="s">
        <v>264</v>
      </c>
    </row>
    <row r="6" spans="1:9" ht="120" customHeight="1" x14ac:dyDescent="0.25">
      <c r="A6" s="3">
        <v>2</v>
      </c>
      <c r="B6" s="2" t="s">
        <v>265</v>
      </c>
      <c r="C6" s="3" t="s">
        <v>123</v>
      </c>
      <c r="D6" s="3" t="s">
        <v>144</v>
      </c>
      <c r="E6" s="10" t="s">
        <v>266</v>
      </c>
      <c r="F6" s="10" t="s">
        <v>63</v>
      </c>
      <c r="G6" s="3" t="s">
        <v>265</v>
      </c>
    </row>
    <row r="7" spans="1:9" ht="120" customHeight="1" x14ac:dyDescent="0.25">
      <c r="A7" s="3">
        <v>3</v>
      </c>
      <c r="B7" s="2" t="s">
        <v>267</v>
      </c>
      <c r="C7" s="3" t="s">
        <v>225</v>
      </c>
      <c r="D7" s="3" t="s">
        <v>179</v>
      </c>
      <c r="E7" s="10" t="s">
        <v>268</v>
      </c>
      <c r="F7" s="10" t="s">
        <v>63</v>
      </c>
      <c r="G7" s="3" t="s">
        <v>269</v>
      </c>
    </row>
    <row r="9" spans="1:9" x14ac:dyDescent="0.25">
      <c r="A9" s="23" t="s">
        <v>270</v>
      </c>
      <c r="B9" s="19"/>
      <c r="C9" s="19"/>
      <c r="D9" s="19"/>
      <c r="E9" s="19"/>
      <c r="F9" s="19"/>
      <c r="G9" s="19"/>
    </row>
    <row r="11" spans="1:9" x14ac:dyDescent="0.25">
      <c r="A11" s="20" t="s">
        <v>134</v>
      </c>
      <c r="B11" s="19"/>
      <c r="C11" s="19"/>
      <c r="D11" s="19"/>
      <c r="E11" s="19"/>
      <c r="F11" s="19"/>
      <c r="G11" s="19"/>
    </row>
    <row r="12" spans="1:9" ht="25.5" x14ac:dyDescent="0.25">
      <c r="A12" s="9" t="s">
        <v>135</v>
      </c>
      <c r="B12" s="11"/>
      <c r="C12" s="12" t="s">
        <v>136</v>
      </c>
    </row>
    <row r="14" spans="1:9" ht="42.75" x14ac:dyDescent="0.25">
      <c r="A14" s="13" t="s">
        <v>137</v>
      </c>
      <c r="B14" s="13" t="s">
        <v>138</v>
      </c>
      <c r="C14" s="13" t="s">
        <v>139</v>
      </c>
      <c r="D14" s="13" t="s">
        <v>27</v>
      </c>
      <c r="E14" s="13" t="s">
        <v>140</v>
      </c>
      <c r="F14" s="13" t="s">
        <v>29</v>
      </c>
      <c r="G14" s="13" t="s">
        <v>141</v>
      </c>
      <c r="H14" s="13" t="s">
        <v>142</v>
      </c>
      <c r="I14" s="13" t="s">
        <v>143</v>
      </c>
    </row>
    <row r="15" spans="1:9" ht="25.5" x14ac:dyDescent="0.25">
      <c r="A15" s="14" t="s">
        <v>144</v>
      </c>
      <c r="B15" s="15"/>
      <c r="C15" s="15"/>
      <c r="D15" s="16" t="str">
        <f t="shared" ref="D15:D21" si="0">IF(B15=0,"",IF(B15="","",ROUND(C15/B15*100,1)))</f>
        <v/>
      </c>
      <c r="E15" s="15"/>
      <c r="F15" s="15"/>
      <c r="G15" s="15"/>
      <c r="H15" s="15"/>
      <c r="I15" s="15"/>
    </row>
    <row r="16" spans="1:9" x14ac:dyDescent="0.25">
      <c r="A16" s="14" t="s">
        <v>145</v>
      </c>
      <c r="B16" s="15"/>
      <c r="C16" s="15"/>
      <c r="D16" s="16" t="str">
        <f t="shared" si="0"/>
        <v/>
      </c>
      <c r="E16" s="15"/>
      <c r="F16" s="15"/>
      <c r="G16" s="15"/>
      <c r="H16" s="15"/>
      <c r="I16" s="15"/>
    </row>
    <row r="17" spans="1:9" x14ac:dyDescent="0.25">
      <c r="A17" s="14" t="s">
        <v>146</v>
      </c>
      <c r="B17" s="15"/>
      <c r="C17" s="15"/>
      <c r="D17" s="16" t="str">
        <f t="shared" si="0"/>
        <v/>
      </c>
      <c r="E17" s="15"/>
      <c r="F17" s="15"/>
      <c r="G17" s="15"/>
      <c r="H17" s="15"/>
      <c r="I17" s="15"/>
    </row>
    <row r="18" spans="1:9" x14ac:dyDescent="0.25">
      <c r="A18" s="14" t="s">
        <v>147</v>
      </c>
      <c r="B18" s="15"/>
      <c r="C18" s="15"/>
      <c r="D18" s="16" t="str">
        <f t="shared" si="0"/>
        <v/>
      </c>
      <c r="E18" s="15"/>
      <c r="F18" s="15"/>
      <c r="G18" s="15"/>
      <c r="H18" s="15"/>
      <c r="I18" s="15"/>
    </row>
    <row r="19" spans="1:9" ht="25.5" x14ac:dyDescent="0.25">
      <c r="A19" s="14" t="s">
        <v>148</v>
      </c>
      <c r="B19" s="15"/>
      <c r="C19" s="15"/>
      <c r="D19" s="16" t="str">
        <f t="shared" si="0"/>
        <v/>
      </c>
      <c r="E19" s="15"/>
      <c r="F19" s="15"/>
      <c r="G19" s="15"/>
      <c r="H19" s="15"/>
      <c r="I19" s="15"/>
    </row>
    <row r="20" spans="1:9" x14ac:dyDescent="0.25">
      <c r="A20" s="14" t="s">
        <v>149</v>
      </c>
      <c r="B20" s="15"/>
      <c r="C20" s="15"/>
      <c r="D20" s="16" t="str">
        <f t="shared" si="0"/>
        <v/>
      </c>
      <c r="E20" s="15"/>
      <c r="F20" s="15"/>
      <c r="G20" s="15"/>
      <c r="H20" s="15"/>
      <c r="I20" s="15"/>
    </row>
    <row r="21" spans="1:9" ht="25.5" x14ac:dyDescent="0.25">
      <c r="A21" s="17" t="s">
        <v>150</v>
      </c>
      <c r="B21" s="4">
        <f>SUM(B15:B20)</f>
        <v>0</v>
      </c>
      <c r="C21" s="4">
        <f>SUM(C15:C20)</f>
        <v>0</v>
      </c>
      <c r="D21" s="18" t="str">
        <f t="shared" si="0"/>
        <v/>
      </c>
      <c r="E21" s="4">
        <f>SUM(E15:E20)</f>
        <v>0</v>
      </c>
      <c r="F21" s="4">
        <f>SUM(F15:F20)</f>
        <v>0</v>
      </c>
      <c r="G21" s="4">
        <f>SUM(G15:G20)</f>
        <v>0</v>
      </c>
      <c r="H21" s="5"/>
      <c r="I21" s="5"/>
    </row>
  </sheetData>
  <mergeCells count="4">
    <mergeCell ref="A11:G11"/>
    <mergeCell ref="A2:G2"/>
    <mergeCell ref="A1:G1"/>
    <mergeCell ref="A9:G9"/>
  </mergeCells>
  <dataValidations count="1">
    <dataValidation type="list" allowBlank="1" errorTitle="وضعیت نامعتبر" error="یکی از گزینه‌ها را انتخاب کنید" sqref="B12" xr:uid="{00000000-0002-0000-0A00-000000000000}">
      <formula1>"انجام‌شده,ناقص,انجام‌نشده"</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21"/>
  <sheetViews>
    <sheetView showGridLines="0" rightToLeft="1" workbookViewId="0">
      <pane ySplit="4" topLeftCell="A5" activePane="bottomLeft" state="frozen"/>
      <selection pane="bottomLeft"/>
    </sheetView>
  </sheetViews>
  <sheetFormatPr defaultRowHeight="15" x14ac:dyDescent="0.25"/>
  <cols>
    <col min="1" max="1" width="8" customWidth="1"/>
    <col min="2" max="2" width="38" customWidth="1"/>
    <col min="3" max="3" width="18" customWidth="1"/>
    <col min="4" max="4" width="22" customWidth="1"/>
    <col min="5" max="5" width="55" customWidth="1"/>
    <col min="6" max="6" width="45" customWidth="1"/>
    <col min="7" max="7" width="22" customWidth="1"/>
    <col min="8" max="9" width="14" customWidth="1"/>
    <col min="10" max="11" width="12" customWidth="1"/>
    <col min="12" max="12" width="14" customWidth="1"/>
    <col min="13" max="13" width="18" customWidth="1"/>
  </cols>
  <sheetData>
    <row r="1" spans="1:9" ht="21.95" customHeight="1" x14ac:dyDescent="0.25">
      <c r="A1" s="22" t="s">
        <v>271</v>
      </c>
      <c r="B1" s="19"/>
      <c r="C1" s="19"/>
      <c r="D1" s="19"/>
      <c r="E1" s="19"/>
      <c r="F1" s="19"/>
      <c r="G1" s="19"/>
    </row>
    <row r="2" spans="1:9" x14ac:dyDescent="0.25">
      <c r="A2" s="21" t="s">
        <v>272</v>
      </c>
      <c r="B2" s="19"/>
      <c r="C2" s="19"/>
      <c r="D2" s="19"/>
      <c r="E2" s="19"/>
      <c r="F2" s="19"/>
      <c r="G2" s="19"/>
    </row>
    <row r="4" spans="1:9" ht="30" customHeight="1" x14ac:dyDescent="0.25">
      <c r="A4" s="1" t="s">
        <v>109</v>
      </c>
      <c r="B4" s="1" t="s">
        <v>110</v>
      </c>
      <c r="C4" s="1" t="s">
        <v>111</v>
      </c>
      <c r="D4" s="1" t="s">
        <v>112</v>
      </c>
      <c r="E4" s="1" t="s">
        <v>113</v>
      </c>
      <c r="F4" s="1" t="s">
        <v>114</v>
      </c>
      <c r="G4" s="1" t="s">
        <v>115</v>
      </c>
    </row>
    <row r="5" spans="1:9" ht="120" customHeight="1" x14ac:dyDescent="0.25">
      <c r="A5" s="3">
        <v>1</v>
      </c>
      <c r="B5" s="2" t="s">
        <v>60</v>
      </c>
      <c r="C5" s="3" t="s">
        <v>202</v>
      </c>
      <c r="D5" s="3" t="s">
        <v>118</v>
      </c>
      <c r="E5" s="10" t="s">
        <v>273</v>
      </c>
      <c r="F5" s="10" t="s">
        <v>63</v>
      </c>
      <c r="G5" s="3" t="s">
        <v>274</v>
      </c>
    </row>
    <row r="6" spans="1:9" ht="120" customHeight="1" x14ac:dyDescent="0.25">
      <c r="A6" s="3">
        <v>2</v>
      </c>
      <c r="B6" s="2" t="s">
        <v>275</v>
      </c>
      <c r="C6" s="3" t="s">
        <v>276</v>
      </c>
      <c r="D6" s="3" t="s">
        <v>203</v>
      </c>
      <c r="E6" s="10" t="s">
        <v>277</v>
      </c>
      <c r="F6" s="10" t="s">
        <v>278</v>
      </c>
      <c r="G6" s="3" t="s">
        <v>279</v>
      </c>
    </row>
    <row r="7" spans="1:9" ht="120" customHeight="1" x14ac:dyDescent="0.25">
      <c r="A7" s="3">
        <v>3</v>
      </c>
      <c r="B7" s="2" t="s">
        <v>280</v>
      </c>
      <c r="C7" s="3" t="s">
        <v>178</v>
      </c>
      <c r="D7" s="3" t="s">
        <v>179</v>
      </c>
      <c r="E7" s="10" t="s">
        <v>281</v>
      </c>
      <c r="F7" s="10" t="s">
        <v>63</v>
      </c>
      <c r="G7" s="3" t="s">
        <v>282</v>
      </c>
    </row>
    <row r="9" spans="1:9" x14ac:dyDescent="0.25">
      <c r="A9" s="23" t="s">
        <v>283</v>
      </c>
      <c r="B9" s="19"/>
      <c r="C9" s="19"/>
      <c r="D9" s="19"/>
      <c r="E9" s="19"/>
      <c r="F9" s="19"/>
      <c r="G9" s="19"/>
    </row>
    <row r="11" spans="1:9" x14ac:dyDescent="0.25">
      <c r="A11" s="20" t="s">
        <v>134</v>
      </c>
      <c r="B11" s="19"/>
      <c r="C11" s="19"/>
      <c r="D11" s="19"/>
      <c r="E11" s="19"/>
      <c r="F11" s="19"/>
      <c r="G11" s="19"/>
    </row>
    <row r="12" spans="1:9" ht="25.5" x14ac:dyDescent="0.25">
      <c r="A12" s="9" t="s">
        <v>135</v>
      </c>
      <c r="B12" s="11"/>
      <c r="C12" s="12" t="s">
        <v>136</v>
      </c>
    </row>
    <row r="14" spans="1:9" ht="42.75" x14ac:dyDescent="0.25">
      <c r="A14" s="13" t="s">
        <v>137</v>
      </c>
      <c r="B14" s="13" t="s">
        <v>138</v>
      </c>
      <c r="C14" s="13" t="s">
        <v>139</v>
      </c>
      <c r="D14" s="13" t="s">
        <v>27</v>
      </c>
      <c r="E14" s="13" t="s">
        <v>140</v>
      </c>
      <c r="F14" s="13" t="s">
        <v>29</v>
      </c>
      <c r="G14" s="13" t="s">
        <v>141</v>
      </c>
      <c r="H14" s="13" t="s">
        <v>142</v>
      </c>
      <c r="I14" s="13" t="s">
        <v>143</v>
      </c>
    </row>
    <row r="15" spans="1:9" ht="25.5" x14ac:dyDescent="0.25">
      <c r="A15" s="14" t="s">
        <v>144</v>
      </c>
      <c r="B15" s="15"/>
      <c r="C15" s="15"/>
      <c r="D15" s="16" t="str">
        <f t="shared" ref="D15:D21" si="0">IF(B15=0,"",IF(B15="","",ROUND(C15/B15*100,1)))</f>
        <v/>
      </c>
      <c r="E15" s="15"/>
      <c r="F15" s="15"/>
      <c r="G15" s="15"/>
      <c r="H15" s="15"/>
      <c r="I15" s="15"/>
    </row>
    <row r="16" spans="1:9" x14ac:dyDescent="0.25">
      <c r="A16" s="14" t="s">
        <v>145</v>
      </c>
      <c r="B16" s="15"/>
      <c r="C16" s="15"/>
      <c r="D16" s="16" t="str">
        <f t="shared" si="0"/>
        <v/>
      </c>
      <c r="E16" s="15"/>
      <c r="F16" s="15"/>
      <c r="G16" s="15"/>
      <c r="H16" s="15"/>
      <c r="I16" s="15"/>
    </row>
    <row r="17" spans="1:9" x14ac:dyDescent="0.25">
      <c r="A17" s="14" t="s">
        <v>146</v>
      </c>
      <c r="B17" s="15"/>
      <c r="C17" s="15"/>
      <c r="D17" s="16" t="str">
        <f t="shared" si="0"/>
        <v/>
      </c>
      <c r="E17" s="15"/>
      <c r="F17" s="15"/>
      <c r="G17" s="15"/>
      <c r="H17" s="15"/>
      <c r="I17" s="15"/>
    </row>
    <row r="18" spans="1:9" x14ac:dyDescent="0.25">
      <c r="A18" s="14" t="s">
        <v>147</v>
      </c>
      <c r="B18" s="15"/>
      <c r="C18" s="15"/>
      <c r="D18" s="16" t="str">
        <f t="shared" si="0"/>
        <v/>
      </c>
      <c r="E18" s="15"/>
      <c r="F18" s="15"/>
      <c r="G18" s="15"/>
      <c r="H18" s="15"/>
      <c r="I18" s="15"/>
    </row>
    <row r="19" spans="1:9" ht="25.5" x14ac:dyDescent="0.25">
      <c r="A19" s="14" t="s">
        <v>148</v>
      </c>
      <c r="B19" s="15"/>
      <c r="C19" s="15"/>
      <c r="D19" s="16" t="str">
        <f t="shared" si="0"/>
        <v/>
      </c>
      <c r="E19" s="15"/>
      <c r="F19" s="15"/>
      <c r="G19" s="15"/>
      <c r="H19" s="15"/>
      <c r="I19" s="15"/>
    </row>
    <row r="20" spans="1:9" x14ac:dyDescent="0.25">
      <c r="A20" s="14" t="s">
        <v>149</v>
      </c>
      <c r="B20" s="15"/>
      <c r="C20" s="15"/>
      <c r="D20" s="16" t="str">
        <f t="shared" si="0"/>
        <v/>
      </c>
      <c r="E20" s="15"/>
      <c r="F20" s="15"/>
      <c r="G20" s="15"/>
      <c r="H20" s="15"/>
      <c r="I20" s="15"/>
    </row>
    <row r="21" spans="1:9" ht="25.5" x14ac:dyDescent="0.25">
      <c r="A21" s="17" t="s">
        <v>150</v>
      </c>
      <c r="B21" s="4">
        <f>SUM(B15:B20)</f>
        <v>0</v>
      </c>
      <c r="C21" s="4">
        <f>SUM(C15:C20)</f>
        <v>0</v>
      </c>
      <c r="D21" s="18" t="str">
        <f t="shared" si="0"/>
        <v/>
      </c>
      <c r="E21" s="4">
        <f>SUM(E15:E20)</f>
        <v>0</v>
      </c>
      <c r="F21" s="4">
        <f>SUM(F15:F20)</f>
        <v>0</v>
      </c>
      <c r="G21" s="4">
        <f>SUM(G15:G20)</f>
        <v>0</v>
      </c>
      <c r="H21" s="5"/>
      <c r="I21" s="5"/>
    </row>
  </sheetData>
  <mergeCells count="4">
    <mergeCell ref="A11:G11"/>
    <mergeCell ref="A2:G2"/>
    <mergeCell ref="A1:G1"/>
    <mergeCell ref="A9:G9"/>
  </mergeCells>
  <dataValidations count="1">
    <dataValidation type="list" allowBlank="1" errorTitle="وضعیت نامعتبر" error="یکی از گزینه‌ها را انتخاب کنید" sqref="B12" xr:uid="{00000000-0002-0000-0B00-000000000000}">
      <formula1>"انجام‌شده,ناقص,انجام‌نشده"</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1"/>
  <sheetViews>
    <sheetView showGridLines="0" rightToLeft="1" workbookViewId="0">
      <pane ySplit="4" topLeftCell="A5" activePane="bottomLeft" state="frozen"/>
      <selection pane="bottomLeft"/>
    </sheetView>
  </sheetViews>
  <sheetFormatPr defaultRowHeight="15" x14ac:dyDescent="0.25"/>
  <cols>
    <col min="1" max="1" width="8" customWidth="1"/>
    <col min="2" max="2" width="38" customWidth="1"/>
    <col min="3" max="3" width="18" customWidth="1"/>
    <col min="4" max="4" width="22" customWidth="1"/>
    <col min="5" max="5" width="55" customWidth="1"/>
    <col min="6" max="6" width="45" customWidth="1"/>
    <col min="7" max="7" width="22" customWidth="1"/>
    <col min="8" max="9" width="14" customWidth="1"/>
    <col min="10" max="11" width="12" customWidth="1"/>
    <col min="12" max="12" width="14" customWidth="1"/>
    <col min="13" max="13" width="18" customWidth="1"/>
  </cols>
  <sheetData>
    <row r="1" spans="1:9" ht="21.95" customHeight="1" x14ac:dyDescent="0.25">
      <c r="A1" s="22" t="s">
        <v>284</v>
      </c>
      <c r="B1" s="19"/>
      <c r="C1" s="19"/>
      <c r="D1" s="19"/>
      <c r="E1" s="19"/>
      <c r="F1" s="19"/>
      <c r="G1" s="19"/>
    </row>
    <row r="2" spans="1:9" x14ac:dyDescent="0.25">
      <c r="A2" s="21" t="s">
        <v>285</v>
      </c>
      <c r="B2" s="19"/>
      <c r="C2" s="19"/>
      <c r="D2" s="19"/>
      <c r="E2" s="19"/>
      <c r="F2" s="19"/>
      <c r="G2" s="19"/>
    </row>
    <row r="4" spans="1:9" ht="30" customHeight="1" x14ac:dyDescent="0.25">
      <c r="A4" s="1" t="s">
        <v>109</v>
      </c>
      <c r="B4" s="1" t="s">
        <v>110</v>
      </c>
      <c r="C4" s="1" t="s">
        <v>111</v>
      </c>
      <c r="D4" s="1" t="s">
        <v>112</v>
      </c>
      <c r="E4" s="1" t="s">
        <v>113</v>
      </c>
      <c r="F4" s="1" t="s">
        <v>114</v>
      </c>
      <c r="G4" s="1" t="s">
        <v>115</v>
      </c>
    </row>
    <row r="5" spans="1:9" ht="120" customHeight="1" x14ac:dyDescent="0.25">
      <c r="A5" s="3">
        <v>1</v>
      </c>
      <c r="B5" s="2" t="s">
        <v>286</v>
      </c>
      <c r="C5" s="3" t="s">
        <v>202</v>
      </c>
      <c r="D5" s="3" t="s">
        <v>203</v>
      </c>
      <c r="E5" s="10" t="s">
        <v>287</v>
      </c>
      <c r="F5" s="10" t="s">
        <v>288</v>
      </c>
      <c r="G5" s="3" t="s">
        <v>289</v>
      </c>
    </row>
    <row r="6" spans="1:9" ht="120" customHeight="1" x14ac:dyDescent="0.25">
      <c r="A6" s="3">
        <v>2</v>
      </c>
      <c r="B6" s="2" t="s">
        <v>123</v>
      </c>
      <c r="C6" s="3" t="s">
        <v>123</v>
      </c>
      <c r="D6" s="3" t="s">
        <v>144</v>
      </c>
      <c r="E6" s="10" t="s">
        <v>290</v>
      </c>
      <c r="F6" s="10" t="s">
        <v>63</v>
      </c>
      <c r="G6" s="3" t="s">
        <v>165</v>
      </c>
    </row>
    <row r="7" spans="1:9" ht="120" customHeight="1" x14ac:dyDescent="0.25">
      <c r="A7" s="3">
        <v>3</v>
      </c>
      <c r="B7" s="2" t="s">
        <v>291</v>
      </c>
      <c r="C7" s="3" t="s">
        <v>178</v>
      </c>
      <c r="D7" s="3" t="s">
        <v>179</v>
      </c>
      <c r="E7" s="10" t="s">
        <v>292</v>
      </c>
      <c r="F7" s="10" t="s">
        <v>63</v>
      </c>
      <c r="G7" s="3" t="s">
        <v>293</v>
      </c>
    </row>
    <row r="9" spans="1:9" x14ac:dyDescent="0.25">
      <c r="A9" s="23" t="s">
        <v>294</v>
      </c>
      <c r="B9" s="19"/>
      <c r="C9" s="19"/>
      <c r="D9" s="19"/>
      <c r="E9" s="19"/>
      <c r="F9" s="19"/>
      <c r="G9" s="19"/>
    </row>
    <row r="11" spans="1:9" x14ac:dyDescent="0.25">
      <c r="A11" s="20" t="s">
        <v>134</v>
      </c>
      <c r="B11" s="19"/>
      <c r="C11" s="19"/>
      <c r="D11" s="19"/>
      <c r="E11" s="19"/>
      <c r="F11" s="19"/>
      <c r="G11" s="19"/>
    </row>
    <row r="12" spans="1:9" ht="25.5" x14ac:dyDescent="0.25">
      <c r="A12" s="9" t="s">
        <v>135</v>
      </c>
      <c r="B12" s="11"/>
      <c r="C12" s="12" t="s">
        <v>136</v>
      </c>
    </row>
    <row r="14" spans="1:9" ht="42.75" x14ac:dyDescent="0.25">
      <c r="A14" s="13" t="s">
        <v>137</v>
      </c>
      <c r="B14" s="13" t="s">
        <v>138</v>
      </c>
      <c r="C14" s="13" t="s">
        <v>139</v>
      </c>
      <c r="D14" s="13" t="s">
        <v>27</v>
      </c>
      <c r="E14" s="13" t="s">
        <v>140</v>
      </c>
      <c r="F14" s="13" t="s">
        <v>29</v>
      </c>
      <c r="G14" s="13" t="s">
        <v>141</v>
      </c>
      <c r="H14" s="13" t="s">
        <v>142</v>
      </c>
      <c r="I14" s="13" t="s">
        <v>143</v>
      </c>
    </row>
    <row r="15" spans="1:9" ht="25.5" x14ac:dyDescent="0.25">
      <c r="A15" s="14" t="s">
        <v>144</v>
      </c>
      <c r="B15" s="15"/>
      <c r="C15" s="15"/>
      <c r="D15" s="16" t="str">
        <f t="shared" ref="D15:D21" si="0">IF(B15=0,"",IF(B15="","",ROUND(C15/B15*100,1)))</f>
        <v/>
      </c>
      <c r="E15" s="15"/>
      <c r="F15" s="15"/>
      <c r="G15" s="15"/>
      <c r="H15" s="15"/>
      <c r="I15" s="15"/>
    </row>
    <row r="16" spans="1:9" x14ac:dyDescent="0.25">
      <c r="A16" s="14" t="s">
        <v>145</v>
      </c>
      <c r="B16" s="15"/>
      <c r="C16" s="15"/>
      <c r="D16" s="16" t="str">
        <f t="shared" si="0"/>
        <v/>
      </c>
      <c r="E16" s="15"/>
      <c r="F16" s="15"/>
      <c r="G16" s="15"/>
      <c r="H16" s="15"/>
      <c r="I16" s="15"/>
    </row>
    <row r="17" spans="1:9" x14ac:dyDescent="0.25">
      <c r="A17" s="14" t="s">
        <v>146</v>
      </c>
      <c r="B17" s="15"/>
      <c r="C17" s="15"/>
      <c r="D17" s="16" t="str">
        <f t="shared" si="0"/>
        <v/>
      </c>
      <c r="E17" s="15"/>
      <c r="F17" s="15"/>
      <c r="G17" s="15"/>
      <c r="H17" s="15"/>
      <c r="I17" s="15"/>
    </row>
    <row r="18" spans="1:9" x14ac:dyDescent="0.25">
      <c r="A18" s="14" t="s">
        <v>147</v>
      </c>
      <c r="B18" s="15"/>
      <c r="C18" s="15"/>
      <c r="D18" s="16" t="str">
        <f t="shared" si="0"/>
        <v/>
      </c>
      <c r="E18" s="15"/>
      <c r="F18" s="15"/>
      <c r="G18" s="15"/>
      <c r="H18" s="15"/>
      <c r="I18" s="15"/>
    </row>
    <row r="19" spans="1:9" ht="25.5" x14ac:dyDescent="0.25">
      <c r="A19" s="14" t="s">
        <v>148</v>
      </c>
      <c r="B19" s="15"/>
      <c r="C19" s="15"/>
      <c r="D19" s="16" t="str">
        <f t="shared" si="0"/>
        <v/>
      </c>
      <c r="E19" s="15"/>
      <c r="F19" s="15"/>
      <c r="G19" s="15"/>
      <c r="H19" s="15"/>
      <c r="I19" s="15"/>
    </row>
    <row r="20" spans="1:9" x14ac:dyDescent="0.25">
      <c r="A20" s="14" t="s">
        <v>149</v>
      </c>
      <c r="B20" s="15"/>
      <c r="C20" s="15"/>
      <c r="D20" s="16" t="str">
        <f t="shared" si="0"/>
        <v/>
      </c>
      <c r="E20" s="15"/>
      <c r="F20" s="15"/>
      <c r="G20" s="15"/>
      <c r="H20" s="15"/>
      <c r="I20" s="15"/>
    </row>
    <row r="21" spans="1:9" ht="25.5" x14ac:dyDescent="0.25">
      <c r="A21" s="17" t="s">
        <v>150</v>
      </c>
      <c r="B21" s="4">
        <f>SUM(B15:B20)</f>
        <v>0</v>
      </c>
      <c r="C21" s="4">
        <f>SUM(C15:C20)</f>
        <v>0</v>
      </c>
      <c r="D21" s="18" t="str">
        <f t="shared" si="0"/>
        <v/>
      </c>
      <c r="E21" s="4">
        <f>SUM(E15:E20)</f>
        <v>0</v>
      </c>
      <c r="F21" s="4">
        <f>SUM(F15:F20)</f>
        <v>0</v>
      </c>
      <c r="G21" s="4">
        <f>SUM(G15:G20)</f>
        <v>0</v>
      </c>
      <c r="H21" s="5"/>
      <c r="I21" s="5"/>
    </row>
  </sheetData>
  <mergeCells count="4">
    <mergeCell ref="A11:G11"/>
    <mergeCell ref="A2:G2"/>
    <mergeCell ref="A1:G1"/>
    <mergeCell ref="A9:G9"/>
  </mergeCells>
  <dataValidations count="1">
    <dataValidation type="list" allowBlank="1" errorTitle="وضعیت نامعتبر" error="یکی از گزینه‌ها را انتخاب کنید" sqref="B12" xr:uid="{00000000-0002-0000-0C00-000000000000}">
      <formula1>"انجام‌شده,ناقص,انجام‌نشده"</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21"/>
  <sheetViews>
    <sheetView showGridLines="0" rightToLeft="1" workbookViewId="0">
      <pane ySplit="4" topLeftCell="A5" activePane="bottomLeft" state="frozen"/>
      <selection pane="bottomLeft"/>
    </sheetView>
  </sheetViews>
  <sheetFormatPr defaultRowHeight="15" x14ac:dyDescent="0.25"/>
  <cols>
    <col min="1" max="1" width="8" customWidth="1"/>
    <col min="2" max="2" width="38" customWidth="1"/>
    <col min="3" max="3" width="18" customWidth="1"/>
    <col min="4" max="4" width="22" customWidth="1"/>
    <col min="5" max="5" width="55" customWidth="1"/>
    <col min="6" max="6" width="45" customWidth="1"/>
    <col min="7" max="7" width="22" customWidth="1"/>
    <col min="8" max="9" width="14" customWidth="1"/>
    <col min="10" max="11" width="12" customWidth="1"/>
    <col min="12" max="12" width="14" customWidth="1"/>
    <col min="13" max="13" width="18" customWidth="1"/>
  </cols>
  <sheetData>
    <row r="1" spans="1:9" ht="21.95" customHeight="1" x14ac:dyDescent="0.25">
      <c r="A1" s="22" t="s">
        <v>295</v>
      </c>
      <c r="B1" s="19"/>
      <c r="C1" s="19"/>
      <c r="D1" s="19"/>
      <c r="E1" s="19"/>
      <c r="F1" s="19"/>
      <c r="G1" s="19"/>
    </row>
    <row r="2" spans="1:9" x14ac:dyDescent="0.25">
      <c r="A2" s="21" t="s">
        <v>296</v>
      </c>
      <c r="B2" s="19"/>
      <c r="C2" s="19"/>
      <c r="D2" s="19"/>
      <c r="E2" s="19"/>
      <c r="F2" s="19"/>
      <c r="G2" s="19"/>
    </row>
    <row r="4" spans="1:9" ht="30" customHeight="1" x14ac:dyDescent="0.25">
      <c r="A4" s="1" t="s">
        <v>109</v>
      </c>
      <c r="B4" s="1" t="s">
        <v>110</v>
      </c>
      <c r="C4" s="1" t="s">
        <v>111</v>
      </c>
      <c r="D4" s="1" t="s">
        <v>112</v>
      </c>
      <c r="E4" s="1" t="s">
        <v>113</v>
      </c>
      <c r="F4" s="1" t="s">
        <v>114</v>
      </c>
      <c r="G4" s="1" t="s">
        <v>115</v>
      </c>
    </row>
    <row r="5" spans="1:9" ht="120" customHeight="1" x14ac:dyDescent="0.25">
      <c r="A5" s="3">
        <v>1</v>
      </c>
      <c r="B5" s="2" t="s">
        <v>297</v>
      </c>
      <c r="C5" s="3" t="s">
        <v>160</v>
      </c>
      <c r="D5" s="3" t="s">
        <v>118</v>
      </c>
      <c r="E5" s="10" t="s">
        <v>298</v>
      </c>
      <c r="F5" s="10" t="s">
        <v>299</v>
      </c>
      <c r="G5" s="3" t="s">
        <v>300</v>
      </c>
    </row>
    <row r="6" spans="1:9" ht="120" customHeight="1" x14ac:dyDescent="0.25">
      <c r="A6" s="3">
        <v>2</v>
      </c>
      <c r="B6" s="2" t="s">
        <v>301</v>
      </c>
      <c r="C6" s="3" t="s">
        <v>123</v>
      </c>
      <c r="D6" s="3" t="s">
        <v>144</v>
      </c>
      <c r="E6" s="10" t="s">
        <v>302</v>
      </c>
      <c r="F6" s="10" t="s">
        <v>63</v>
      </c>
      <c r="G6" s="3" t="s">
        <v>209</v>
      </c>
    </row>
    <row r="7" spans="1:9" ht="120" customHeight="1" x14ac:dyDescent="0.25">
      <c r="A7" s="3">
        <v>3</v>
      </c>
      <c r="B7" s="2" t="s">
        <v>303</v>
      </c>
      <c r="C7" s="3" t="s">
        <v>304</v>
      </c>
      <c r="D7" s="3" t="s">
        <v>240</v>
      </c>
      <c r="E7" s="10" t="s">
        <v>305</v>
      </c>
      <c r="F7" s="10" t="s">
        <v>63</v>
      </c>
      <c r="G7" s="3" t="s">
        <v>306</v>
      </c>
    </row>
    <row r="9" spans="1:9" x14ac:dyDescent="0.25">
      <c r="A9" s="23" t="s">
        <v>307</v>
      </c>
      <c r="B9" s="19"/>
      <c r="C9" s="19"/>
      <c r="D9" s="19"/>
      <c r="E9" s="19"/>
      <c r="F9" s="19"/>
      <c r="G9" s="19"/>
    </row>
    <row r="11" spans="1:9" x14ac:dyDescent="0.25">
      <c r="A11" s="20" t="s">
        <v>134</v>
      </c>
      <c r="B11" s="19"/>
      <c r="C11" s="19"/>
      <c r="D11" s="19"/>
      <c r="E11" s="19"/>
      <c r="F11" s="19"/>
      <c r="G11" s="19"/>
    </row>
    <row r="12" spans="1:9" ht="25.5" x14ac:dyDescent="0.25">
      <c r="A12" s="9" t="s">
        <v>135</v>
      </c>
      <c r="B12" s="11"/>
      <c r="C12" s="12" t="s">
        <v>136</v>
      </c>
    </row>
    <row r="14" spans="1:9" ht="42.75" x14ac:dyDescent="0.25">
      <c r="A14" s="13" t="s">
        <v>137</v>
      </c>
      <c r="B14" s="13" t="s">
        <v>138</v>
      </c>
      <c r="C14" s="13" t="s">
        <v>139</v>
      </c>
      <c r="D14" s="13" t="s">
        <v>27</v>
      </c>
      <c r="E14" s="13" t="s">
        <v>140</v>
      </c>
      <c r="F14" s="13" t="s">
        <v>29</v>
      </c>
      <c r="G14" s="13" t="s">
        <v>141</v>
      </c>
      <c r="H14" s="13" t="s">
        <v>142</v>
      </c>
      <c r="I14" s="13" t="s">
        <v>143</v>
      </c>
    </row>
    <row r="15" spans="1:9" ht="25.5" x14ac:dyDescent="0.25">
      <c r="A15" s="14" t="s">
        <v>144</v>
      </c>
      <c r="B15" s="15"/>
      <c r="C15" s="15"/>
      <c r="D15" s="16" t="str">
        <f t="shared" ref="D15:D21" si="0">IF(B15=0,"",IF(B15="","",ROUND(C15/B15*100,1)))</f>
        <v/>
      </c>
      <c r="E15" s="15"/>
      <c r="F15" s="15"/>
      <c r="G15" s="15"/>
      <c r="H15" s="15"/>
      <c r="I15" s="15"/>
    </row>
    <row r="16" spans="1:9" x14ac:dyDescent="0.25">
      <c r="A16" s="14" t="s">
        <v>145</v>
      </c>
      <c r="B16" s="15"/>
      <c r="C16" s="15"/>
      <c r="D16" s="16" t="str">
        <f t="shared" si="0"/>
        <v/>
      </c>
      <c r="E16" s="15"/>
      <c r="F16" s="15"/>
      <c r="G16" s="15"/>
      <c r="H16" s="15"/>
      <c r="I16" s="15"/>
    </row>
    <row r="17" spans="1:9" x14ac:dyDescent="0.25">
      <c r="A17" s="14" t="s">
        <v>146</v>
      </c>
      <c r="B17" s="15"/>
      <c r="C17" s="15"/>
      <c r="D17" s="16" t="str">
        <f t="shared" si="0"/>
        <v/>
      </c>
      <c r="E17" s="15"/>
      <c r="F17" s="15"/>
      <c r="G17" s="15"/>
      <c r="H17" s="15"/>
      <c r="I17" s="15"/>
    </row>
    <row r="18" spans="1:9" x14ac:dyDescent="0.25">
      <c r="A18" s="14" t="s">
        <v>147</v>
      </c>
      <c r="B18" s="15"/>
      <c r="C18" s="15"/>
      <c r="D18" s="16" t="str">
        <f t="shared" si="0"/>
        <v/>
      </c>
      <c r="E18" s="15"/>
      <c r="F18" s="15"/>
      <c r="G18" s="15"/>
      <c r="H18" s="15"/>
      <c r="I18" s="15"/>
    </row>
    <row r="19" spans="1:9" ht="25.5" x14ac:dyDescent="0.25">
      <c r="A19" s="14" t="s">
        <v>148</v>
      </c>
      <c r="B19" s="15"/>
      <c r="C19" s="15"/>
      <c r="D19" s="16" t="str">
        <f t="shared" si="0"/>
        <v/>
      </c>
      <c r="E19" s="15"/>
      <c r="F19" s="15"/>
      <c r="G19" s="15"/>
      <c r="H19" s="15"/>
      <c r="I19" s="15"/>
    </row>
    <row r="20" spans="1:9" x14ac:dyDescent="0.25">
      <c r="A20" s="14" t="s">
        <v>149</v>
      </c>
      <c r="B20" s="15"/>
      <c r="C20" s="15"/>
      <c r="D20" s="16" t="str">
        <f t="shared" si="0"/>
        <v/>
      </c>
      <c r="E20" s="15"/>
      <c r="F20" s="15"/>
      <c r="G20" s="15"/>
      <c r="H20" s="15"/>
      <c r="I20" s="15"/>
    </row>
    <row r="21" spans="1:9" ht="25.5" x14ac:dyDescent="0.25">
      <c r="A21" s="17" t="s">
        <v>150</v>
      </c>
      <c r="B21" s="4">
        <f>SUM(B15:B20)</f>
        <v>0</v>
      </c>
      <c r="C21" s="4">
        <f>SUM(C15:C20)</f>
        <v>0</v>
      </c>
      <c r="D21" s="18" t="str">
        <f t="shared" si="0"/>
        <v/>
      </c>
      <c r="E21" s="4">
        <f>SUM(E15:E20)</f>
        <v>0</v>
      </c>
      <c r="F21" s="4">
        <f>SUM(F15:F20)</f>
        <v>0</v>
      </c>
      <c r="G21" s="4">
        <f>SUM(G15:G20)</f>
        <v>0</v>
      </c>
      <c r="H21" s="5"/>
      <c r="I21" s="5"/>
    </row>
  </sheetData>
  <mergeCells count="4">
    <mergeCell ref="A11:G11"/>
    <mergeCell ref="A2:G2"/>
    <mergeCell ref="A1:G1"/>
    <mergeCell ref="A9:G9"/>
  </mergeCells>
  <dataValidations count="1">
    <dataValidation type="list" allowBlank="1" errorTitle="وضعیت نامعتبر" error="یکی از گزینه‌ها را انتخاب کنید" sqref="B12" xr:uid="{00000000-0002-0000-0D00-000000000000}">
      <formula1>"انجام‌شده,ناقص,انجام‌نشده"</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گزارش تجمیعی</vt:lpstr>
      <vt:lpstr>راهنمای استفاده</vt:lpstr>
      <vt:lpstr>هفته 1</vt:lpstr>
      <vt:lpstr>هفته 2</vt:lpstr>
      <vt:lpstr>هفته 3</vt:lpstr>
      <vt:lpstr>هفته 4</vt:lpstr>
      <vt:lpstr>هفته 5</vt:lpstr>
      <vt:lpstr>هفته 6</vt:lpstr>
      <vt:lpstr>هفته 7</vt:lpstr>
      <vt:lpstr>هفته 8</vt:lpstr>
      <vt:lpstr>هفته 9</vt:lpstr>
      <vt:lpstr>هفته 10</vt:lpstr>
      <vt:lpstr>هفته 11</vt:lpstr>
      <vt:lpstr>هفته 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mehdi akhlaghi</cp:lastModifiedBy>
  <dcterms:created xsi:type="dcterms:W3CDTF">2026-09-18T16:26:51Z</dcterms:created>
  <dcterms:modified xsi:type="dcterms:W3CDTF">2026-09-18T16:32:45Z</dcterms:modified>
</cp:coreProperties>
</file>